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740" windowHeight="15960" activeTab="2"/>
  </bookViews>
  <sheets>
    <sheet name="Bắt đầu kênh" sheetId="1" r:id="rId1"/>
    <sheet name="Lịch tháng" sheetId="2" r:id="rId2"/>
    <sheet name="Kịch bản chi tiết" sheetId="3" r:id="rId3"/>
    <sheet name="Cảnh quay" sheetId="4" r:id="rId4"/>
    <sheet name="Batch quay" sheetId="5" r:id="rId5"/>
    <sheet name="Báo giá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<sst xmlns="http://schemas.openxmlformats.org/spreadsheetml/2006/main" count="1172" uniqueCount="549">
  <si>
    <t>Lily • TikTok tháng 1</t>
  </si>
  <si>
    <t>Kế hoạch quay 12 video: kể đời sống thật của một người mẹ, nhẹ nhàng và không lên lớp.</t>
  </si>
  <si>
    <t>1. Định vị kênh</t>
  </si>
  <si>
    <t>Lily là ai?</t>
  </si>
  <si>
    <t>Một người mẹ chia sẻ cách chăm sóc gia đình, giữ nhịp sống riêng và làm chủ những lựa chọn nhỏ trong nhà.</t>
  </si>
  <si>
    <t>Người xem</t>
  </si>
  <si>
    <t>Những người thích nội dung gia đình, tiền bạc đơn giản, đời sống của mẹ và những chuyến đi nhẹ.</t>
  </si>
  <si>
    <t>Cảm giác để lại</t>
  </si>
  <si>
    <t>Ấm, thật, bình tĩnh; xem xong thấy dễ thở hơn chứ không thấy bị dạy phải sống thế nào.</t>
  </si>
  <si>
    <t>2. Bốn nhóm nội dung tháng này</t>
  </si>
  <si>
    <t>Nhóm</t>
  </si>
  <si>
    <t>Số video</t>
  </si>
  <si>
    <t>Ví dụ</t>
  </si>
  <si>
    <t>Lưu ý</t>
  </si>
  <si>
    <t>Đời sống mẹ &amp; gia đình</t>
  </si>
  <si>
    <t>Buổi sáng, nhà cửa, Chủ Nhật, tổng kết tháng</t>
  </si>
  <si>
    <t>Kể điều đang diễn ra, không cần dạy mẹo</t>
  </si>
  <si>
    <t>Tiền bạc trong gia đình</t>
  </si>
  <si>
    <t>Đi chợ, budget đầu tháng, budget chuyến đi</t>
  </si>
  <si>
    <t>Nói về lựa chọn và thói quen, không tư vấn đầu tư</t>
  </si>
  <si>
    <t>Du lịch nhẹ</t>
  </si>
  <si>
    <t>Chuẩn bị vali, day trip</t>
  </si>
  <si>
    <t>Đi gần, khoảnh khắc thật, không cần sang trọng</t>
  </si>
  <si>
    <t>Con cái</t>
  </si>
  <si>
    <t>Một cuộc trò chuyện về tiền</t>
  </si>
  <si>
    <t>Chỉ V04; không quay mặt, không đưa lời khuyên theo độ tuổi</t>
  </si>
  <si>
    <t>3. Cách nói để video nghe tự nhiên</t>
  </si>
  <si>
    <t>Nên nói</t>
  </si>
  <si>
    <t>‘Hôm nay nhà mình thử cách này…’, ‘Có hôm mình cũng thấy mệt…’, ‘Mọi người chọn cách hợp nhà mình là được.’</t>
  </si>
  <si>
    <t>Không nên nói</t>
  </si>
  <si>
    <t>‘Các mẹ phải…’, ‘Cách đúng là…’, ‘Làm vậy chắc chắn sẽ…’</t>
  </si>
  <si>
    <t>Nhịp đọc</t>
  </si>
  <si>
    <t>Đọc như kể chuyện cho một người bạn. Ngắt sau mỗi ý, không cần thuộc từng chữ.</t>
  </si>
  <si>
    <t>CTA</t>
  </si>
  <si>
    <t>Lưu lại, thử một việc nhỏ, gửi cho người cần nghe; chỉ dùng câu hỏi khi thật sự muốn mở trò chuyện.</t>
  </si>
  <si>
    <t>4. Checklist quay một video (khoảng 60–90 phút)</t>
  </si>
  <si>
    <t>Bước</t>
  </si>
  <si>
    <t>Làm gì</t>
  </si>
  <si>
    <t>Dấu hiệu đã đủ</t>
  </si>
  <si>
    <t>1. Chọn kịch bản</t>
  </si>
  <si>
    <t>Đọc Hook + Voice-over. Không cần học thuộc; chỉ nắm ý chính.</t>
  </si>
  <si>
    <t>Biết 1 câu mở đầu và 1 ý muốn người xem nhớ.</t>
  </si>
  <si>
    <t>2. Quay cảnh</t>
  </si>
  <si>
    <t>Quay dọc 9:16; mỗi cảnh 3–5 giây; quay dư một bản.</t>
  </si>
  <si>
    <t>Có đủ 7–9 cảnh theo sheet Cảnh quay.</t>
  </si>
  <si>
    <t>3. Thu voice-over</t>
  </si>
  <si>
    <t>Thu ở phòng yên, đọc chậm và như đang kể chuyện.</t>
  </si>
  <si>
    <t>Có 2 bản thu để chọn bản tự nhiên hơn.</t>
  </si>
  <si>
    <t>4. Gửi footage</t>
  </si>
  <si>
    <t>Gom theo mã video, ví dụ: V01_01, V01_02…</t>
  </si>
  <si>
    <t>Không bỏ sót cảnh hook và cảnh kết.</t>
  </si>
  <si>
    <t>5. Dựng &amp; duyệt</t>
  </si>
  <si>
    <t>Team dựng phụ đề, nhạc nền nhỏ và cover text.</t>
  </si>
  <si>
    <t>Gửi 1 feedback gộp, rõ phần cần chỉnh.</t>
  </si>
  <si>
    <t>6. Đăng &amp; ghi chú</t>
  </si>
  <si>
    <t>Đăng theo lịch, 24 giờ sau ghi lại một điều người xem phản hồi.</t>
  </si>
  <si>
    <t>Biết video sau cần giữ hoặc đổi điều gì.</t>
  </si>
  <si>
    <t>5. Riêng tư khi quay</t>
  </si>
  <si>
    <t>Không quay</t>
  </si>
  <si>
    <t>Mặt con, tên trường, đồng phục, số nhà, biển số xe, giấy tờ, hóa đơn, lịch trình hoặc mặt người lạ.</t>
  </si>
  <si>
    <t>Nếu quay ngoài đường</t>
  </si>
  <si>
    <t>Chỉ bấm máy khi xe đã đỗ. Quay cảnh rộng, lưng người hoặc tay thay vì cận mặt.</t>
  </si>
  <si>
    <t>Nếu thấy không chắc</t>
  </si>
  <si>
    <t>Bỏ cảnh đó. Một video ít cảnh hơn vẫn tốt hơn một video làm lộ thông tin riêng tư.</t>
  </si>
  <si>
    <t>Lịch đăng TikTok • 4 tuần / 12 video</t>
  </si>
  <si>
    <t>Đổi ngày ở ô B3 để dời cả lịch. Gói 8 dùng 8 video có ghi ‘Gói 8 + Gói 12’.</t>
  </si>
  <si>
    <t>Ngày Thứ Hai tuần 1</t>
  </si>
  <si>
    <t/>
  </si>
  <si>
    <t>Tổng video</t>
  </si>
  <si>
    <t>Đã đăng</t>
  </si>
  <si>
    <t>Mã</t>
  </si>
  <si>
    <t>Ngày đăng</t>
  </si>
  <si>
    <t>Tuần</t>
  </si>
  <si>
    <t>Video / chủ đề</t>
  </si>
  <si>
    <t>Nhóm nội dung</t>
  </si>
  <si>
    <t>Mục tiêu cảm xúc</t>
  </si>
  <si>
    <t>Bối cảnh chính</t>
  </si>
  <si>
    <t>Định dạng</t>
  </si>
  <si>
    <t>Thời lượng</t>
  </si>
  <si>
    <t>Gói áp dụng</t>
  </si>
  <si>
    <t>Trạng thái</t>
  </si>
  <si>
    <t>V01</t>
  </si>
  <si>
    <t>Tuần 1</t>
  </si>
  <si>
    <t>Một buổi sáng để mẹ bước vào ngày mới nhẹ hơn</t>
  </si>
  <si>
    <t>Daily của mẹ</t>
  </si>
  <si>
    <t>Bắt đầu ngày bình tĩnh, không cần hoàn hảo.</t>
  </si>
  <si>
    <t>Nhà / góc bếp / cửa sổ</t>
  </si>
  <si>
    <t>Mở mặt + VO vlog</t>
  </si>
  <si>
    <t>45–60s</t>
  </si>
  <si>
    <t>Gói 8 + Gói 12</t>
  </si>
  <si>
    <t>Chưa quay</t>
  </si>
  <si>
    <t>V02</t>
  </si>
  <si>
    <t>Đi chợ trong tuần: 3 câu hỏi để bớt mua theo cảm xúc</t>
  </si>
  <si>
    <t>Tài chính gia đình</t>
  </si>
  <si>
    <t>Chi tiêu có chủ đích, không tạo áp lực tiết kiệm.</t>
  </si>
  <si>
    <t>Chợ / siêu thị / bếp</t>
  </si>
  <si>
    <t>V03</t>
  </si>
  <si>
    <t>Dọn một góc nhà để tối về dễ thở hơn</t>
  </si>
  <si>
    <t>Gia đình &amp; daily</t>
  </si>
  <si>
    <t>Giảm quá tải bằng một việc nhỏ, không cố làm hết.</t>
  </si>
  <si>
    <t>Nhà / bàn ăn / góc bếp</t>
  </si>
  <si>
    <t>Gói 12</t>
  </si>
  <si>
    <t>V04</t>
  </si>
  <si>
    <t>Tuần 2</t>
  </si>
  <si>
    <t>Một điều Lily muốn con hiểu về việc dùng tiền</t>
  </si>
  <si>
    <t>Giáo dục tài chính &amp; gia đình</t>
  </si>
  <si>
    <t>Gợi mở một cuộc trò chuyện về tiền, không dạy theo khuôn.</t>
  </si>
  <si>
    <t>Nhà / bàn ăn / góc để tiền tiết kiệm</t>
  </si>
  <si>
    <t>V05</t>
  </si>
  <si>
    <t>Mẹ cũng cần một khoảng nghỉ, không chỉ checklist</t>
  </si>
  <si>
    <t>Đời sống của mẹ</t>
  </si>
  <si>
    <t>Bình thường hóa việc nghỉ ngắn, không thấy có lỗi.</t>
  </si>
  <si>
    <t>Quán coffee / ban công / góc nhà yên</t>
  </si>
  <si>
    <t>V06</t>
  </si>
  <si>
    <t>Chuẩn bị cho chuyến đi ngắn: mang ít nhưng đủ</t>
  </si>
  <si>
    <t>Đi chơi nhẹ nhàng, không biến việc chuẩn bị thành áp lực.</t>
  </si>
  <si>
    <t>Nhà / vali nhỏ / xe đang đỗ</t>
  </si>
  <si>
    <t>V07</t>
  </si>
  <si>
    <t>Tuần 3</t>
  </si>
  <si>
    <t>Reset chi tiêu gia đình đầu tháng theo cách đơn giản</t>
  </si>
  <si>
    <t>Nhìn lại tiền trong nhà với tâm thế chủ động, không căng thẳng.</t>
  </si>
  <si>
    <t>Bàn làm việc / sổ tay / điện thoại</t>
  </si>
  <si>
    <t>V08</t>
  </si>
  <si>
    <t>Nhà nhiều việc thì chọn một việc quan trọng trước</t>
  </si>
  <si>
    <t>Bớt quá tải bằng cách chọn ưu tiên thực tế.</t>
  </si>
  <si>
    <t>Nhà / bếp / bảng việc nhỏ</t>
  </si>
  <si>
    <t>V09</t>
  </si>
  <si>
    <t>Lên ngân sách cho chuyến đi không bị quá tay</t>
  </si>
  <si>
    <t>Du lịch &amp; tài chính</t>
  </si>
  <si>
    <t>Tự do đi chơi trong khả năng của gia đình.</t>
  </si>
  <si>
    <t>Bàn làm việc / điện thoại / sổ tay</t>
  </si>
  <si>
    <t>V10</t>
  </si>
  <si>
    <t>Tuần 4</t>
  </si>
  <si>
    <t>Một ngày đi chơi gần cùng gia đình</t>
  </si>
  <si>
    <t>Du lịch &amp; gia đình</t>
  </si>
  <si>
    <t>Trân trọng một chuyến đi gần, không cần hoành tráng.</t>
  </si>
  <si>
    <t>Đường đi / công viên / quán ăn / nơi tham quan gần</t>
  </si>
  <si>
    <t>V11</t>
  </si>
  <si>
    <t>Chủ Nhật chuẩn bị nhẹ cho tuần mới</t>
  </si>
  <si>
    <t>Daily &amp; gia đình</t>
  </si>
  <si>
    <t>Vào tuần mới có chủ động, không ép phải hoàn hảo.</t>
  </si>
  <si>
    <t>Nhà / bếp / bàn kế hoạch</t>
  </si>
  <si>
    <t>V12</t>
  </si>
  <si>
    <t>Cuối tháng: điều Lily muốn giữ lại cho tháng sau</t>
  </si>
  <si>
    <t>Góc nhìn của mẹ</t>
  </si>
  <si>
    <t>Khép tháng bằng một suy nghĩ thật, không tự đánh giá quá nặng.</t>
  </si>
  <si>
    <t>Nhà / góc bàn / đi bộ chiều</t>
  </si>
  <si>
    <t>Kịch bản chi tiết • đọc là quay được</t>
  </si>
  <si>
    <t>Mỗi voice-over dài khoảng 45–60 giây. Giữ ý chính, nói bằng giọng của Lily, không cần đọc y hệt.</t>
  </si>
  <si>
    <t>Video</t>
  </si>
  <si>
    <t>Mục tiêu &amp; cảm xúc</t>
  </si>
  <si>
    <t>Hook 0–3 giây</t>
  </si>
  <si>
    <t>Chữ trên màn hình</t>
  </si>
  <si>
    <t>Voice-over theo nhịp</t>
  </si>
  <si>
    <t>Storyboard tóm tắt</t>
  </si>
  <si>
    <t>Caption + CTA + hashtag</t>
  </si>
  <si>
    <t>Có những sáng, việc đầu tiên mình làm là… đừng vội mở điện thoại.</t>
  </si>
  <si>
    <t>Bắt đầu ngày nhẹ một chút</t>
  </si>
  <si>
    <t>0–3s: Có những sáng, việc đầu tiên mình làm là… đừng vội mở điện thoại.
3–12s: Chỉ mở rèm, uống một ly nước, rồi đứng yên vài phút.
12–24s: Vì có hôm vừa tỉnh dậy đã thấy đầu đầy việc: bữa sáng, tin nhắn, việc nhà, lịch trong ngày.
24–39s: Nếu mình chạy ngay từ lúc đó, cả ngày cũng dễ bị cuốn theo.
39–51s: Nên dạo này cứ chọn một việc nhỏ để mở đầu. Pha coffee, gấp chăn, hoặc ngồi cạnh cửa sổ.
51–59s: Không phải routine gì đặc biệt. Chỉ là cho mình kịp có mặt trong ngày mới.</t>
  </si>
  <si>
    <t>Tắt chuông → mở rèm → rót nước → pha coffee → gấp chăn → nhìn ra cửa sổ → chuẩn bị nhẹ nhàng.</t>
  </si>
  <si>
    <t>Buổi sáng không cần phải thật năng suất. Có vài phút để mình bắt nhịp với ngày mới là đủ rồi.
#dailyvlog #momlife #morningroutine #lilydaily
CTA: Lưu lại cho một sáng bạn muốn đi chậm hơn.</t>
  </si>
  <si>
    <t>Đi chợ lúc đói rất dễ mua cả những thứ tuần sau vẫn nằm nguyên trong tủ.</t>
  </si>
  <si>
    <t>3 câu hỏi trước khi bỏ vào giỏ</t>
  </si>
  <si>
    <t>0–3s: Đi chợ lúc đói rất dễ mua cả những thứ tuần sau vẫn nằm nguyên trong tủ.
3–13s: Nên trước khi bỏ một món vào giỏ, mình hay dừng lại hỏi ba câu rất đơn giản.
13–25s: Món này nhà mình có dùng trong tuần không? Ở nhà đã có món nào giống vậy chưa? Và nếu không mua thì có thật sự thiếu không?
25–40s: Không phải để siết mọi khoản chi. Có những món mua vì vui vẫn hoàn toàn ổn.
40–51s: Chỉ là mình muốn biết mình đang chọn vì cần, vì thích, hay vì đang đói quá thôi.
51–60s: Đi chợ bớt vội một chút, về nhà cũng đỡ tiếc một chút.</t>
  </si>
  <si>
    <t>Giỏ hàng → xem danh sách → cầm món hàng → mở tủ lạnh ở nhà → chọn rau/thực phẩm → thanh toán → nấu bữa tối.</t>
  </si>
  <si>
    <t>Không phải món nào mua vì thích cũng sai. Chỉ cần mình biết lý do trước khi bấm thanh toán.
#chitieu #taichinhgiadinh #groceryvlog #momlife
CTA: Tối nay thử mang ba câu này theo lúc đi chợ nhé.</t>
  </si>
  <si>
    <t>Đầu rối quá thì đừng dọn cả nhà. Dọn đúng một góc thôi.</t>
  </si>
  <si>
    <t>Không dọn cả nhà. Một góc là đủ.</t>
  </si>
  <si>
    <t>0–3s: Đầu rối quá thì đừng dọn cả nhà. Dọn đúng một góc thôi.
3–13s: Có những tối về tới nhà, nhìn đâu cũng thấy việc: túi đồ chưa cất, ly chưa rửa, bàn thì đầy giấy.
13–25s: Nếu bắt đầu nghĩ phải xử lý hết, tự nhiên lại càng mệt.
25–40s: Nên hôm nay chỉ chọn mặt bàn này. Cất ba món, rửa một cái ly, lau nhanh một lượt.
40–51s: Nhà chưa gọn hết, nhưng góc này có khoảng trống. Nhìn nó cũng thấy đầu dịu xuống.
51–59s: Phần còn lại để mai. Tối nay chỉ cần nhà có một chỗ để mình thở thôi.</t>
  </si>
  <si>
    <t>Góc bàn hơi bừa → cất túi → rửa ly → lau mặt bàn → góc bàn sau khi dọn → pha trà → ngồi nghỉ.</t>
  </si>
  <si>
    <t>Không cần reset cả căn nhà sau một ngày dài. Một góc nhỏ đủ nhẹ là được.
#homereset #familylife #dailyvlog #slowliving
CTA: Không cần làm thêm gì nữa, tối nay vậy là đủ.</t>
  </si>
  <si>
    <t>Điều mình muốn con hiểu về tiền không phải là ‘đừng tiêu’.</t>
  </si>
  <si>
    <t>Tiền là để chọn điều quan trọng</t>
  </si>
  <si>
    <t>0–3s: Điều mình muốn con hiểu về tiền không phải là ‘đừng tiêu’.
3–14s: Mà là trước khi tiêu, mình biết điều gì quan trọng với mình.
14–27s: Có khoản dùng để mua thứ cần thiết. Có khoản để dành cho một điều mình đang mong. Và cũng có khoản nhỏ để vui.
27–40s: Nhà mình không nói về tiền theo kiểu đúng hay sai tuyệt đối. Chỉ thử nói rõ: nếu chọn cái này, mình sẽ bớt đi một lựa chọn khác.
40–52s: Có khi là một món đồ, có khi là một buổi đi chơi.
52–60s: Biết lựa chọn, rồi thấy thoải mái với lựa chọn đó — với mình, đó là một bài học đáng giữ.</t>
  </si>
  <si>
    <t>Hũ tiết kiệm → tay viết mục tiêu nhỏ → đồ dùng trên bàn → đặt vài tờ tiền/phiếu giả → ghi ‘cần / muốn’ → cả nhà nhìn từ phía sau → cất hũ.</t>
  </si>
  <si>
    <t>Mỗi nhà sẽ nói về tiền theo cách riêng. Đây chỉ là một cuộc trò chuyện nhỏ Lily muốn giữ trong nhà mình.
#giaoductaichinh #giadinh #momlife #moneytalk
CTA: Giữ lại video này nếu bạn cũng muốn bắt đầu nói về tiền nhẹ nhàng hơn.</t>
  </si>
  <si>
    <t>Có lúc mình không cần thêm một mẹo. Chỉ cần yên một lát thôi.</t>
  </si>
  <si>
    <t>Không làm gì 20 phút cũng được</t>
  </si>
  <si>
    <t>0–3s: Có lúc mình không cần thêm một mẹo. Chỉ cần yên một lát thôi.
3–13s: Trước đây cứ có khoảng trống là mình lại tìm việc để lấp vào. Mở điện thoại, trả lời tin nhắn, viết thêm một list mới.
13–26s: Nhưng có ngày càng làm vậy càng thấy đầu ồn.
26–41s: Nên hôm nay mình để điện thoại úp xuống, mang ly coffee ra ngồi, không làm gì cả.
41–51s: Không cần biến giờ nghỉ thành một việc ‘có ích’.
51–59s: Nghỉ xong, mọi thứ không tự biến mất. Nhưng mình quay lại với nó nhẹ hơn một chút. Vậy cũng đáng rồi.</t>
  </si>
  <si>
    <t>Đặt điện thoại úp → gọi coffee → ngồi cạnh cửa sổ → tay cầm ly → nhìn cây/đường → hít thở → đứng dậy rời đi.</t>
  </si>
  <si>
    <t>Nghỉ không cần lý do. Có hôm đầu nhẹ hơn là đủ kết quả rồi.
#momtime #coffeebreak #selfcare #dailyvlog
CTA: Gửi cho một người đang cần được nghỉ một chút.</t>
  </si>
  <si>
    <t>Đi hai ngày mà mang đồ như chuyển nhà, chắc ai cũng từng rồi.</t>
  </si>
  <si>
    <t>Đi ngắn thôi, mang vừa đủ thôi</t>
  </si>
  <si>
    <t>0–3s: Đi hai ngày mà mang đồ như chuyển nhà, chắc ai cũng từng rồi.
3–13s: Dạo này trước khi xếp vali, mình không nghĩ ‘mang gì cho đủ’, mà nghĩ ‘mình thật sự sẽ dùng gì’.
13–26s: Ba bộ đồ dễ mặc, một lớp áo khoác, đồ vệ sinh nhỏ, sạc và một túi để đồ bẩn.
26–40s: Phần còn lại, tới nơi thiếu thì xoay xở. Không nhất thiết phải dự phòng cho mọi tình huống.
40–51s: Mang nhẹ hơn, đi lại cũng thoải mái hơn.
51–59s: Chuyến đi ngắn đâu cần hoàn hảo. Có chỗ để ngắm cảnh và ngồi xuống là vui rồi.</t>
  </si>
  <si>
    <t>Mở vali nhỏ → chọn ba bộ đồ → cuộn áo → bỏ đồ vệ sinh → cất sạc → đóng vali → đặt trong xe đã đỗ.</t>
  </si>
  <si>
    <t>Checklist đi ngắn của Lily: đủ dùng, dễ xếp, không làm mình mệt từ lúc chưa đi.
#weekendtrip #travelvlog #familytravel #packing
CTA: Lưu lại trước chuyến đi gần nhất của bạn.</t>
  </si>
  <si>
    <t>Đầu tháng, nhà mình không lập một bảng chi tiêu thật dài.</t>
  </si>
  <si>
    <t>15 phút nhìn lại tiền trong nhà</t>
  </si>
  <si>
    <t>0–3s: Đầu tháng, nhà mình không lập một bảng chi tiêu thật dài.
3–14s: Chỉ ngồi xuống khoảng mười lăm phút để nhìn ba chuyện: khoản cố định, khoản cần mua trong tháng và một khoản để cả nhà được vui.
14–28s: Nhìn trước không có nghĩa là mọi thứ sẽ đi đúng kế hoạch. Tháng nào cũng có khoản bất ngờ.
28–41s: Nhưng ít nhất khi một khoản phát sinh xuất hiện, mình biết nó đang lấy chỗ của phần nào.
41–52s: Nhờ vậy, quyết định bớt cảm tính hơn mà không phải tính toán từng ly coffee.
52–60s: Bảng của nhà mình càng đơn giản thì càng có cơ hội được dùng lâu.</t>
  </si>
  <si>
    <t>Mở sổ → ba cột đơn giản → xem lịch thanh toán → ghi khoản mua lớn → đánh dấu khoản vui → cất sổ → uống tea.</t>
  </si>
  <si>
    <t>Không cần bảng thật đẹp mới bắt đầu được. Một trang giấy, ba mục rõ ràng là đủ.
#taichinhgiadinh #budgeting #familylife #moneyroutine
CTA: Thử dành 15 phút đầu tháng để nhìn lại cùng cả nhà.</t>
  </si>
  <si>
    <t>Nhà nhiều việc quá, đừng bắt đầu bằng câu ‘làm hết hôm nay’.</t>
  </si>
  <si>
    <t>Một việc quan trọng trước</t>
  </si>
  <si>
    <t>0–3s: Nhà nhiều việc quá, đừng bắt đầu bằng câu ‘làm hết hôm nay’.
3–13s: Câu đó làm mình mệt trước khi bắt đầu luôn.
13–26s: Có hôm bếp cần dọn, đồ cần giặt, email chưa trả lời, kế hoạch tuần còn để trống.
26–40s: Mình chọn một việc mà làm xong sẽ khiến nhà nhẹ đi rõ nhất. Có thể là nấu bữa tối, dọn bếp, hoặc đặt lịch cho việc quan trọng.
40–52s: Khi một việc xong, tự nhiên việc tiếp theo cũng dễ chọn hơn.
52–59s: Không cần thắng hết checklist. Chỉ cần đừng để nó kéo mình chạy cả tối.</t>
  </si>
  <si>
    <t>Bảng việc nhỏ → bếp/bàn hơi bừa → khoanh một việc → làm việc đó → cảnh sau khi xong → đặt dụng cụ xuống → ngồi nghỉ.</t>
  </si>
  <si>
    <t>Một việc xong thật vẫn tốt hơn mười việc nghĩ mãi chưa bắt đầu.
#familylife #homemanagement #dailyvlog #slowliving
CTA: Nhà bạn đang có một việc nào làm xong sẽ nhẹ hơn ngay không?</t>
  </si>
  <si>
    <t>Muốn đi chơi mà không mang cảm giác áy náy về nhà, mình chuẩn bị khoản này trước.</t>
  </si>
  <si>
    <t>Chuyến đi vui hơn khi biết mình có thể chi bao nhiêu</t>
  </si>
  <si>
    <t>0–3s: Muốn đi chơi mà không mang cảm giác áy náy về nhà, mình chuẩn bị khoản này trước.
3–14s: Không phải budget thật chi tiết. Chỉ là một con số để biết chuyến đi này mình muốn chi trong khoảng nào.
14–27s: Rồi chia đơn giản: chỗ ở, ăn uống, đi lại và một khoản dư nhỏ cho điều phát sinh.
27–41s: Nếu chỗ ở đã cao hơn dự kiến, mình chủ động chọn bữa ăn đơn giản hơn. Không cần cố có mọi trải nghiệm trong một lần đi.
41–52s: Đi chơi không phải là tiêu càng nhiều càng đáng.
52–59s: Về nhà vẫn thấy thoải mái với khoản đã chọn, với mình đó mới là chuyến đi dễ chịu.</t>
  </si>
  <si>
    <t>Mở ghi chú điện thoại → ghi ngân sách tổng → chia bốn mục → xem bản đồ → chọn quán/cảnh miễn phí → cất sổ → coffee tại nhà.</t>
  </si>
  <si>
    <t>Budget không làm chuyến đi bớt vui. Nó giúp mình chọn điều vui nhất trong khả năng của mình.
#travelbudget #taichinhcanhan #familytravel #travelplanning
CTA: Lưu lại cho lần lên kế hoạch đi chơi tiếp theo.</t>
  </si>
  <si>
    <t>Không phải chuyến đi nào cũng cần lên lịch từ sáng tới tối.</t>
  </si>
  <si>
    <t>Một ngày đi gần, thở xa một chút</t>
  </si>
  <si>
    <t>0–3s: Không phải chuyến đi nào cũng cần lên lịch từ sáng tới tối.
3–13s: Hôm nay cả nhà chỉ chọn một nơi gần, mang theo nước, chút đồ ăn và để phần còn lại xảy ra tự nhiên.
13–27s: Có thể là một công viên, một thị trấn nhỏ, hoặc một quán ăn lâu rồi chưa ghé.
27–40s: Không cần check-in đủ chỗ. Không cần quay mọi khoảnh khắc.
40–51s: Chỉ cần đi chậm hơn ngày thường, ăn một bữa ngon và ngồi nói chuyện lâu hơn một chút.
51–59s: Đi gần thôi, nhưng cảm giác như đã rời nhịp cũ một đoạn rồi.</t>
  </si>
  <si>
    <t>Đóng cửa nhà → xe đang đỗ → đường đi → bảng chỉ đường → cây xanh/cảnh địa phương → bữa ăn → bóng lưng cả nhà → hoàng hôn.</t>
  </si>
  <si>
    <t>Đôi khi không cần đi xa. Chỉ cần có một ngày không chạy theo lịch cũ là đủ.
#daytrip #familyvlog #travelvlog #slowweekend
CTA: Chọn một nơi gần để dành cho cuối tuần này nhé.</t>
  </si>
  <si>
    <t>Chủ Nhật nhà mình không ‘reset cuộc đời’. Chỉ chuẩn bị đỡ mệt cho thứ Hai.</t>
  </si>
  <si>
    <t>Chủ Nhật nhẹ, thứ Hai đỡ vội</t>
  </si>
  <si>
    <t>0–3s: Chủ Nhật nhà mình không ‘reset cuộc đời’. Chỉ chuẩn bị đỡ mệt cho thứ Hai.
3–14s: Rửa sẵn ít rau, kiểm tra tủ lạnh, bỏ vài việc quan trọng vào lịch và chọn trước một bữa tối dễ làm.
14–28s: Có tuần làm được hết, có tuần làm được một nửa. Vậy cũng không sao.
28–41s: Mấy việc nhỏ này không làm tuần mới hoàn hảo hơn. Nhưng sáng thứ Hai mở tủ lạnh ra, mở lịch lên, mình bớt phải quyết định vội.
41–52s: Đầu óc có thêm chỗ cho những việc thật sự cần thiết.
52–59s: Chủ Nhật nhẹ một chút, tuần mới cũng đỡ ngợp một chút.</t>
  </si>
  <si>
    <t>Mở tủ lạnh → rửa rau → cất hộp → mở lịch → ghi bữa tối → gấp đồ → ánh đèn chiều → ngồi nghỉ.</t>
  </si>
  <si>
    <t>Không cần chuẩn bị cả tuần thật hoàn hảo. Chỉ cần làm thứ Hai bớt vội hơn là tốt rồi.
#sundayreset #mealprep #familyroutine #dailyvlog
CTA: Lưu lại nếu bạn cũng thích một Chủ Nhật không quá áp lực.</t>
  </si>
  <si>
    <t>Cuối tháng mình không hỏi: tháng này đã làm được bao nhiêu?</t>
  </si>
  <si>
    <t>Một điều muốn giữ lại cho tháng sau</t>
  </si>
  <si>
    <t>0–3s: Cuối tháng mình không hỏi: tháng này đã làm được bao nhiêu?
3–13s: Câu đó dễ làm mình chỉ nhìn vào những việc còn dang dở.
13–27s: Dạo này mình hỏi một câu khác: có điều gì trong tháng này làm mình thấy nhà dễ chịu hơn, đầu nhẹ hơn, hoặc cả nhà gần nhau hơn không?
27–41s: Có thể là một bữa tối ngồi lâu hơn thường ngày. Một lần đi chơi gần. Hoặc chỉ là mình đã dám nghỉ khi mệt.
41–52s: Không phải điều gì cũng cần thành thành tích mới đáng nhớ.
52–60s: Mình giữ lại một điều nhỏ thôi. Tháng sau, cứ làm lại từ điều đó.</t>
  </si>
  <si>
    <t>Ghi lịch tháng → xem vài khoảnh khắc trong điện thoại → bàn ăn → góc nhà gọn → đi bộ chiều → ghi một dòng vào sổ → tắt đèn bàn.</t>
  </si>
  <si>
    <t>Không cần chấm điểm cả tháng. Chọn một điều nhỏ mình muốn mang theo sang tháng sau là được.
#monthlyreflection #momlife #familylife #dailyvlog
CTA: Tháng này, điều bạn muốn giữ lại là gì?</t>
  </si>
  <si>
    <t>Cảnh quay chi tiết • quay theo từng nhịp</t>
  </si>
  <si>
    <t>Mỗi cảnh 3–5 giây. Quay dư 1 bản, ưu tiên máy ổn định và ánh sáng tự nhiên.</t>
  </si>
  <si>
    <t>Mốc thời gian</t>
  </si>
  <si>
    <t>Cảnh cần quay</t>
  </si>
  <si>
    <t>Bối cảnh</t>
  </si>
  <si>
    <t>Góc máy</t>
  </si>
  <si>
    <t>Mẹo / riêng tư</t>
  </si>
  <si>
    <t>0–3s</t>
  </si>
  <si>
    <t>Đặt điện thoại úp xuống sau khi tắt chuông</t>
  </si>
  <si>
    <t>Bàn cạnh giường</t>
  </si>
  <si>
    <t>Cận tay</t>
  </si>
  <si>
    <t>3s</t>
  </si>
  <si>
    <t>Không quay màn hình có thông báo riêng tư</t>
  </si>
  <si>
    <t>3–8s</t>
  </si>
  <si>
    <t>Mở rèm</t>
  </si>
  <si>
    <t>Cửa sổ</t>
  </si>
  <si>
    <t>Góc nghiêng</t>
  </si>
  <si>
    <t>4s</t>
  </si>
  <si>
    <t>Để ánh sáng chiếu vào mặt</t>
  </si>
  <si>
    <t>8–14s</t>
  </si>
  <si>
    <t>Rót nước</t>
  </si>
  <si>
    <t>Bếp</t>
  </si>
  <si>
    <t>Cận ly</t>
  </si>
  <si>
    <t>Giữ máy cố định</t>
  </si>
  <si>
    <t>14–21s</t>
  </si>
  <si>
    <t>Pha coffee</t>
  </si>
  <si>
    <t>Cận hành động</t>
  </si>
  <si>
    <t>5s</t>
  </si>
  <si>
    <t>Quay thêm tiếng nước nếu đẹp</t>
  </si>
  <si>
    <t>21–29s</t>
  </si>
  <si>
    <t>Gấp chăn hoặc chỉnh gối</t>
  </si>
  <si>
    <t>Phòng ngủ</t>
  </si>
  <si>
    <t>Góc cao nhẹ</t>
  </si>
  <si>
    <t>Khung hình gọn</t>
  </si>
  <si>
    <t>29–38s</t>
  </si>
  <si>
    <t>Ngồi cạnh cửa sổ</t>
  </si>
  <si>
    <t>Nhà</t>
  </si>
  <si>
    <t>Nửa người</t>
  </si>
  <si>
    <t>Không cần nhìn camera</t>
  </si>
  <si>
    <t>38–49s</t>
  </si>
  <si>
    <t>Chuẩn bị túi/đồ dùng</t>
  </si>
  <si>
    <t>Bàn</t>
  </si>
  <si>
    <t>Tránh lộ giấy tờ</t>
  </si>
  <si>
    <t>49–59s</t>
  </si>
  <si>
    <t>Nhìn ra ngoài trước khi bắt đầu ngày</t>
  </si>
  <si>
    <t>Sau lưng</t>
  </si>
  <si>
    <t>Cảnh kết chậm, sáng</t>
  </si>
  <si>
    <t>Đặt giỏ hàng lên xe</t>
  </si>
  <si>
    <t>Chợ / siêu thị</t>
  </si>
  <si>
    <t>Cận giỏ</t>
  </si>
  <si>
    <t>Không quay mặt người lạ</t>
  </si>
  <si>
    <t>3–9s</t>
  </si>
  <si>
    <t>Mở danh sách mua đồ</t>
  </si>
  <si>
    <t>Lối đi</t>
  </si>
  <si>
    <t>Danh sách không lộ thông tin cá nhân</t>
  </si>
  <si>
    <t>9–15s</t>
  </si>
  <si>
    <t>Cầm một món hàng và xem lại</t>
  </si>
  <si>
    <t>Kệ hàng</t>
  </si>
  <si>
    <t>Cận sản phẩm</t>
  </si>
  <si>
    <t>Quay logo ở mức vừa phải</t>
  </si>
  <si>
    <t>15–23s</t>
  </si>
  <si>
    <t>Chọn rau/thực phẩm</t>
  </si>
  <si>
    <t>Kệ rau</t>
  </si>
  <si>
    <t>Góc từ trên</t>
  </si>
  <si>
    <t>Giữ background mờ</t>
  </si>
  <si>
    <t>23–31s</t>
  </si>
  <si>
    <t>Đặt món vào giỏ</t>
  </si>
  <si>
    <t>Góc thấp</t>
  </si>
  <si>
    <t>Một hành động rõ</t>
  </si>
  <si>
    <t>31–40s</t>
  </si>
  <si>
    <t>Mở tủ lạnh để kiểm tra đồ sẵn có</t>
  </si>
  <si>
    <t>POV</t>
  </si>
  <si>
    <t>Tắt/mờ hóa đơn</t>
  </si>
  <si>
    <t>40–50s</t>
  </si>
  <si>
    <t>Chuẩn bị bữa tối</t>
  </si>
  <si>
    <t>Cận thao tác</t>
  </si>
  <si>
    <t>Ánh sáng cửa sổ</t>
  </si>
  <si>
    <t>50–60s</t>
  </si>
  <si>
    <t>Bày bữa ăn đơn giản</t>
  </si>
  <si>
    <t>Bàn ăn</t>
  </si>
  <si>
    <t>Góc 45 độ</t>
  </si>
  <si>
    <t>Cảnh kết ấm</t>
  </si>
  <si>
    <t>Góc bàn hơi bừa</t>
  </si>
  <si>
    <t>Toàn cảnh</t>
  </si>
  <si>
    <t>Không lộ thư từ/địa chỉ</t>
  </si>
  <si>
    <t>Cất túi đồ</t>
  </si>
  <si>
    <t>Bàn / counter</t>
  </si>
  <si>
    <t>Quay từ trên xuống</t>
  </si>
  <si>
    <t>Bỏ ly vào bồn</t>
  </si>
  <si>
    <t>Bật tiếng động tự nhiên nếu có</t>
  </si>
  <si>
    <t>15–22s</t>
  </si>
  <si>
    <t>Lau mặt bàn</t>
  </si>
  <si>
    <t>Một chuyển động liền</t>
  </si>
  <si>
    <t>22–31s</t>
  </si>
  <si>
    <t>Xếp ba món gọn lại</t>
  </si>
  <si>
    <t>Góc bàn</t>
  </si>
  <si>
    <t>Cận</t>
  </si>
  <si>
    <t>Chụp trước/sau cùng góc</t>
  </si>
  <si>
    <t>Góc bàn sau khi dọn</t>
  </si>
  <si>
    <t>Giữ máy yên</t>
  </si>
  <si>
    <t>40–49s</t>
  </si>
  <si>
    <t>Pha trà</t>
  </si>
  <si>
    <t>Ánh đèn ấm</t>
  </si>
  <si>
    <t>Ngồi nghỉ cạnh góc vừa dọn</t>
  </si>
  <si>
    <t>Không cần nói camera</t>
  </si>
  <si>
    <t>Đặt hũ tiết kiệm lên bàn</t>
  </si>
  <si>
    <t>Cận vật</t>
  </si>
  <si>
    <t>Không quay mặt trẻ</t>
  </si>
  <si>
    <t>Viết một mục tiêu nhỏ lên giấy</t>
  </si>
  <si>
    <t>Không ghi tên riêng</t>
  </si>
  <si>
    <t>Đặt vài món minh họa lên bàn</t>
  </si>
  <si>
    <t>Ưu tiên đồ dùng không có thông tin cá nhân</t>
  </si>
  <si>
    <t>Chia giấy thành ‘cần / muốn / để dành’</t>
  </si>
  <si>
    <t>Chữ đơn giản, dễ nhìn</t>
  </si>
  <si>
    <t>Đặt đồng xu/phiếu minh họa vào các mục</t>
  </si>
  <si>
    <t>Không quay tiền thật số lượng lớn</t>
  </si>
  <si>
    <t>Một người ngồi từ phía sau bàn</t>
  </si>
  <si>
    <t>Không quay mặt hoặc chi tiết nhận diện</t>
  </si>
  <si>
    <t>Cất hũ tiết kiệm</t>
  </si>
  <si>
    <t>Kệ / bàn</t>
  </si>
  <si>
    <t>Cảnh nhẹ, chậm</t>
  </si>
  <si>
    <t>49–60s</t>
  </si>
  <si>
    <t>Khung cảnh bàn ăn gọn</t>
  </si>
  <si>
    <t>Kết ở không gian gia đình</t>
  </si>
  <si>
    <t>Đặt điện thoại úp xuống</t>
  </si>
  <si>
    <t>Tắt thông báo trước khi quay</t>
  </si>
  <si>
    <t>Nhận một ly coffee</t>
  </si>
  <si>
    <t>Quán</t>
  </si>
  <si>
    <t>Không quay nhân viên rõ mặt</t>
  </si>
  <si>
    <t>Đặt ly cạnh cửa sổ</t>
  </si>
  <si>
    <t>Quán / ban công</t>
  </si>
  <si>
    <t>Tận dụng ánh sáng tự nhiên</t>
  </si>
  <si>
    <t>Ngồi yên nhìn ra ngoài</t>
  </si>
  <si>
    <t>Không cần diễn</t>
  </si>
  <si>
    <t>Tay cầm ly</t>
  </si>
  <si>
    <t>Giữ khung hình sạch</t>
  </si>
  <si>
    <t>Cây hoặc đường bên ngoài</t>
  </si>
  <si>
    <t>Không quay biển số xe</t>
  </si>
  <si>
    <t>Hít thở / mỉm cười nhẹ</t>
  </si>
  <si>
    <t>Góc yên</t>
  </si>
  <si>
    <t>Không bắt buộc nhìn camera</t>
  </si>
  <si>
    <t>Đứng dậy, mang theo ly</t>
  </si>
  <si>
    <t>Lối ra</t>
  </si>
  <si>
    <t>Góc ngang</t>
  </si>
  <si>
    <t>Cảnh kết tự nhiên</t>
  </si>
  <si>
    <t>Mở vali nhỏ</t>
  </si>
  <si>
    <t>Nền giường gọn</t>
  </si>
  <si>
    <t>Chọn ba bộ đồ</t>
  </si>
  <si>
    <t>Giường</t>
  </si>
  <si>
    <t>Chọn màu dễ phối</t>
  </si>
  <si>
    <t>Cuộn áo</t>
  </si>
  <si>
    <t>Quay động tác chậm</t>
  </si>
  <si>
    <t>Bỏ đồ vệ sinh vào túi nhỏ</t>
  </si>
  <si>
    <t>Không lộ thuốc/nhãn riêng tư</t>
  </si>
  <si>
    <t>Cất sạc</t>
  </si>
  <si>
    <t>Một món một khung</t>
  </si>
  <si>
    <t>Đóng vali</t>
  </si>
  <si>
    <t>Phòng</t>
  </si>
  <si>
    <t>Đặt vali cạnh cửa</t>
  </si>
  <si>
    <t>Cho thấy kích thước gọn</t>
  </si>
  <si>
    <t>Đặt vali vào xe đang đỗ</t>
  </si>
  <si>
    <t>Bãi đỗ</t>
  </si>
  <si>
    <t>Góc sau lưng</t>
  </si>
  <si>
    <t>Không quay khi xe đang chạy</t>
  </si>
  <si>
    <t>Mở sổ ghi chép</t>
  </si>
  <si>
    <t>Bàn làm việc</t>
  </si>
  <si>
    <t>Không lộ dữ liệu tài khoản</t>
  </si>
  <si>
    <t>Viết ba mục chi tiêu</t>
  </si>
  <si>
    <t>Chỉ quay số minh họa</t>
  </si>
  <si>
    <t>Xem lịch thanh toán</t>
  </si>
  <si>
    <t>Điện thoại / lịch giấy</t>
  </si>
  <si>
    <t>Làm mờ thông tin thật</t>
  </si>
  <si>
    <t>Ghi khoản mua cần thiết</t>
  </si>
  <si>
    <t>Sổ</t>
  </si>
  <si>
    <t>Chữ to, dễ nhìn</t>
  </si>
  <si>
    <t>Đánh dấu một khoản vui</t>
  </si>
  <si>
    <t>Đừng quay sao kê</t>
  </si>
  <si>
    <t>Cộng nhanh trên giấy</t>
  </si>
  <si>
    <t>Góc trên</t>
  </si>
  <si>
    <t>Không cần máy tính phức tạp</t>
  </si>
  <si>
    <t>Đóng sổ</t>
  </si>
  <si>
    <t>Cảnh gọn</t>
  </si>
  <si>
    <t>Uống tea bên cửa sổ</t>
  </si>
  <si>
    <t>Kết cảm giác nhẹ</t>
  </si>
  <si>
    <t>Bảng việc nhỏ có vài mục</t>
  </si>
  <si>
    <t>Bếp / bàn</t>
  </si>
  <si>
    <t>Không ghi việc riêng tư</t>
  </si>
  <si>
    <t>Góc bếp và bàn đang nhiều đồ</t>
  </si>
  <si>
    <t>Đừng tạo cảnh quá bừa</t>
  </si>
  <si>
    <t>Khoanh một việc</t>
  </si>
  <si>
    <t>Bảng</t>
  </si>
  <si>
    <t>Chữ to, ngắn</t>
  </si>
  <si>
    <t>Bắt đầu làm việc đó</t>
  </si>
  <si>
    <t>Cắt theo hành động</t>
  </si>
  <si>
    <t>Dọn/rửa/nấu</t>
  </si>
  <si>
    <t>Lấy 2 bản dự phòng</t>
  </si>
  <si>
    <t>Đặt dụng cụ xuống</t>
  </si>
  <si>
    <t>Cho thấy đã xong</t>
  </si>
  <si>
    <t>Góc nhà sau khi xử lý</t>
  </si>
  <si>
    <t>Cùng góc với cảnh trước</t>
  </si>
  <si>
    <t>Ngồi xuống nghỉ</t>
  </si>
  <si>
    <t>Sofa / bàn</t>
  </si>
  <si>
    <t>Tự nhiên, không tạo dáng</t>
  </si>
  <si>
    <t>Mở ghi chú ‘chuyến đi’</t>
  </si>
  <si>
    <t>Cận điện thoại</t>
  </si>
  <si>
    <t>Không lộ email/đặt chỗ thật</t>
  </si>
  <si>
    <t>Ghi ngân sách tổng</t>
  </si>
  <si>
    <t>Dùng số minh họa</t>
  </si>
  <si>
    <t>Chia bốn mục</t>
  </si>
  <si>
    <t>Chữ đơn giản</t>
  </si>
  <si>
    <t>Xem bản đồ</t>
  </si>
  <si>
    <t>Điện thoại</t>
  </si>
  <si>
    <t>Không lộ vị trí nhà</t>
  </si>
  <si>
    <t>So sánh hai lựa chọn</t>
  </si>
  <si>
    <t>Dùng giấy note, không cần app</t>
  </si>
  <si>
    <t>Đánh dấu khoản dư</t>
  </si>
  <si>
    <t>Màu hồng nhẹ</t>
  </si>
  <si>
    <t>Đóng sổ, cất bút</t>
  </si>
  <si>
    <t>Khung hình thoáng</t>
  </si>
  <si>
    <t>Túi du lịch đặt cạnh cửa</t>
  </si>
  <si>
    <t>Gợi cảm giác sẵn sàng</t>
  </si>
  <si>
    <t>Đóng cửa nhà</t>
  </si>
  <si>
    <t>Không quay số nhà</t>
  </si>
  <si>
    <t>Đặt túi vào xe đã đỗ</t>
  </si>
  <si>
    <t>Không quay biển số</t>
  </si>
  <si>
    <t>Bảng chỉ đường</t>
  </si>
  <si>
    <t>Đường đi</t>
  </si>
  <si>
    <t>Chỉ quay khi dừng an toàn</t>
  </si>
  <si>
    <t>Cây xanh hoặc địa điểm</t>
  </si>
  <si>
    <t>Ngoài trời</t>
  </si>
  <si>
    <t>Lấy cảnh không có mặt người lạ</t>
  </si>
  <si>
    <t>Đi bộ từ phía sau</t>
  </si>
  <si>
    <t>Công viên</t>
  </si>
  <si>
    <t>Không cần quay cận mặt</t>
  </si>
  <si>
    <t>Bữa ăn / đồ uống</t>
  </si>
  <si>
    <t>Cận bàn</t>
  </si>
  <si>
    <t>Tránh quay thực khách</t>
  </si>
  <si>
    <t>Cảnh nhìn xa</t>
  </si>
  <si>
    <t>Ánh chiều / bước đi</t>
  </si>
  <si>
    <t>Cảnh kết chậm</t>
  </si>
  <si>
    <t>Mở tủ lạnh</t>
  </si>
  <si>
    <t>Để tủ gọn, không lộ nhãn nhạy cảm</t>
  </si>
  <si>
    <t>Rửa rau</t>
  </si>
  <si>
    <t>Bồn rửa</t>
  </si>
  <si>
    <t>Cất vào hộp</t>
  </si>
  <si>
    <t>Quay rõ thao tác</t>
  </si>
  <si>
    <t>Mở lịch tuần</t>
  </si>
  <si>
    <t>Không lộ lịch riêng</t>
  </si>
  <si>
    <t>Ghi một bữa tối</t>
  </si>
  <si>
    <t>Chữ ít, dễ đọc</t>
  </si>
  <si>
    <t>Gấp một vài món đồ</t>
  </si>
  <si>
    <t>Màu khung hình ấm</t>
  </si>
  <si>
    <t>Bếp đã gọn hơn</t>
  </si>
  <si>
    <t>So sánh với cảnh đầu</t>
  </si>
  <si>
    <t>Ngồi nghỉ chiều Chủ Nhật</t>
  </si>
  <si>
    <t>Sofa</t>
  </si>
  <si>
    <t>Không nhìn camera cũng được</t>
  </si>
  <si>
    <t>Mở lịch tháng</t>
  </si>
  <si>
    <t>Không lộ lịch cá nhân</t>
  </si>
  <si>
    <t>Lướt vài ảnh/khoảnh khắc</t>
  </si>
  <si>
    <t>Không dùng ảnh người lạ</t>
  </si>
  <si>
    <t>Bàn ăn / bữa tối</t>
  </si>
  <si>
    <t>Khung hình ấm</t>
  </si>
  <si>
    <t>Góc nhà gọn</t>
  </si>
  <si>
    <t>Lấy cảnh thật</t>
  </si>
  <si>
    <t>Đi bộ chiều</t>
  </si>
  <si>
    <t>Không quay khi di chuyển nhanh</t>
  </si>
  <si>
    <t>Viết một dòng vào sổ</t>
  </si>
  <si>
    <t>Chỉ ghi từ khóa</t>
  </si>
  <si>
    <t>Đặt bút xuống</t>
  </si>
  <si>
    <t>Giữ không gian yên</t>
  </si>
  <si>
    <t>Tắt đèn bàn</t>
  </si>
  <si>
    <t>Cảnh kết êm</t>
  </si>
  <si>
    <t>Batch quay • gom cảnh để quay nhẹ hơn</t>
  </si>
  <si>
    <t>Mỗi buổi chỉ cần lấy footage. Voice-over có thể thu riêng ở nhà sau khi quay.</t>
  </si>
  <si>
    <t>Buổi</t>
  </si>
  <si>
    <t>Thời điểm</t>
  </si>
  <si>
    <t>Cảnh bắt buộc</t>
  </si>
  <si>
    <t>Thời gian</t>
  </si>
  <si>
    <t>Buổi 1</t>
  </si>
  <si>
    <t>Một sáng + một tối ở nhà</t>
  </si>
  <si>
    <t>V01, V03, V05, V08, V11, V12</t>
  </si>
  <si>
    <t>Cửa sổ, bếp, bàn ăn, sofa</t>
  </si>
  <si>
    <t>Cảnh mở rèm, một góc nhà, coffee, sổ, bếp và cảnh kết</t>
  </si>
  <si>
    <t>60–75 phút</t>
  </si>
  <si>
    <t>Quay nhiều cảnh tay và không gian; tránh lộ giấy tờ, lịch riêng.</t>
  </si>
  <si>
    <t>Buổi 2</t>
  </si>
  <si>
    <t>Một lần đi chợ + về nhà</t>
  </si>
  <si>
    <t>V02, V07, V09</t>
  </si>
  <si>
    <t>Chợ/siêu thị, bếp, bàn</t>
  </si>
  <si>
    <t>Giỏ hàng, danh sách, sổ budget, bữa tối</t>
  </si>
  <si>
    <t>60 phút</t>
  </si>
  <si>
    <t>Không quay mặt người lạ, hóa đơn hoặc số tài khoản.</t>
  </si>
  <si>
    <t>Buổi 3</t>
  </si>
  <si>
    <t>Một buổi yên ở nhà</t>
  </si>
  <si>
    <t>Bàn ăn, góc để hũ tiết kiệm</t>
  </si>
  <si>
    <t>Hũ, giấy ‘cần / muốn / để dành’, tay và góc bàn</t>
  </si>
  <si>
    <t>25–30 phút</t>
  </si>
  <si>
    <t>Không quay mặt con, tên riêng hoặc bất kỳ chi tiết nhận diện nào.</t>
  </si>
  <si>
    <t>Buổi 4</t>
  </si>
  <si>
    <t>Cuối tuần đi gần</t>
  </si>
  <si>
    <t>V06, V10</t>
  </si>
  <si>
    <t>Phòng, xe đang đỗ, địa điểm ngoài trời</t>
  </si>
  <si>
    <t>Xếp vali, túi xách, cảnh đường đi, cây xanh, bữa ăn</t>
  </si>
  <si>
    <t>60–90 phút</t>
  </si>
  <si>
    <t>Chỉ quay ở xe khi xe đã đỗ; tránh biển số, số nhà, mặt người lạ.</t>
  </si>
  <si>
    <t>Báo giá Content TikTok • Lily</t>
  </si>
  <si>
    <t>Lily tự quay theo shot list; team nhận footage để dựng thành video dọc hoàn chỉnh.</t>
  </si>
  <si>
    <t>So sánh hai gói theo tháng</t>
  </si>
  <si>
    <t>Hạng mục</t>
  </si>
  <si>
    <t>Gói Đồng hành 8</t>
  </si>
  <si>
    <t>Gói Duy trì 12</t>
  </si>
  <si>
    <t>Đơn giá / tháng</t>
  </si>
  <si>
    <t>Nhịp đăng</t>
  </si>
  <si>
    <t>2 video / tuần</t>
  </si>
  <si>
    <t>3 video / tuần</t>
  </si>
  <si>
    <t>Định hướng tháng</t>
  </si>
  <si>
    <t>Có</t>
  </si>
  <si>
    <t>Ý tưởng + kịch bản chi tiết</t>
  </si>
  <si>
    <t>8 kịch bản ưu tiên</t>
  </si>
  <si>
    <t>12 kịch bản đầy đủ</t>
  </si>
  <si>
    <t>Hướng dẫn Lily tự quay</t>
  </si>
  <si>
    <t>Shot list theo từng video</t>
  </si>
  <si>
    <t>Dựng video</t>
  </si>
  <si>
    <t>8 video dọc 45–60 giây</t>
  </si>
  <si>
    <t>12 video dọc 45–60 giây</t>
  </si>
  <si>
    <t>Bàn giao</t>
  </si>
  <si>
    <t>Video có phụ đề, nhạc nền nhỏ, cover text và caption cơ bản</t>
  </si>
  <si>
    <t>Chỉnh sửa</t>
  </si>
  <si>
    <t>1 vòng chỉnh sửa / video</t>
  </si>
  <si>
    <t>Thời gian giao</t>
  </si>
  <si>
    <t>Tối đa 3 ngày làm việc sau khi nhận đủ footage</t>
  </si>
  <si>
    <t>Tổng giá gói / tháng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</si>
</sst>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\ &quot;đ&quot;"/>
    <numFmt numFmtId="179" formatCode="ddd\,\ dd/mm/yyyy"/>
    <numFmt numFmtId="180" formatCode="ddd\,\ dd/mm"/>
  </numFmts>
  <fonts count="28">
    <font>
      <sz val="11"/>
      <name val="Carlito"/>
      <charset val="134"/>
    </font>
    <font>
      <b/>
      <sz val="18"/>
      <color rgb="FFFFFFFF"/>
      <name val="SVN-Avo"/>
      <charset val="134"/>
    </font>
    <font>
      <i/>
      <sz val="10"/>
      <color rgb="FF6D6067"/>
      <name val="SVN-Avo"/>
      <charset val="134"/>
    </font>
    <font>
      <b/>
      <sz val="11"/>
      <color rgb="FF4A3540"/>
      <name val="SVN-Avo"/>
      <charset val="134"/>
    </font>
    <font>
      <b/>
      <sz val="10"/>
      <color rgb="FFFFFFFF"/>
      <name val="SVN-Avo"/>
      <charset val="134"/>
    </font>
    <font>
      <sz val="10"/>
      <color rgb="FF4A3540"/>
      <name val="SVN-Avo"/>
      <charset val="134"/>
    </font>
    <font>
      <b/>
      <sz val="13"/>
      <color rgb="FFA24E64"/>
      <name val="SVN-Avo"/>
      <charset val="134"/>
    </font>
    <font>
      <b/>
      <sz val="11"/>
      <color rgb="FFFFFFFF"/>
      <name val="SVN-Av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6B7C"/>
        <bgColor indexed="64"/>
      </patternFill>
    </fill>
    <fill>
      <patternFill patternType="solid">
        <fgColor rgb="FFFFF9F7"/>
        <bgColor indexed="64"/>
      </patternFill>
    </fill>
    <fill>
      <patternFill patternType="solid">
        <fgColor rgb="FFF8E9ED"/>
        <bgColor indexed="64"/>
      </patternFill>
    </fill>
    <fill>
      <patternFill patternType="solid">
        <fgColor rgb="FFFCECEF"/>
        <bgColor indexed="64"/>
      </patternFill>
    </fill>
    <fill>
      <patternFill patternType="solid">
        <fgColor rgb="FFF7DDE4"/>
        <bgColor indexed="64"/>
      </patternFill>
    </fill>
    <fill>
      <patternFill patternType="solid">
        <fgColor rgb="FFF4E5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66B7C"/>
      </left>
      <right style="thin">
        <color rgb="FFC66B7C"/>
      </right>
      <top style="thin">
        <color rgb="FFC66B7C"/>
      </top>
      <bottom style="thin">
        <color rgb="FFC66B7C"/>
      </bottom>
      <diagonal/>
    </border>
    <border>
      <left style="thin">
        <color rgb="FFE8D9DE"/>
      </left>
      <right style="thin">
        <color rgb="FFE8D9DE"/>
      </right>
      <top style="thin">
        <color rgb="FFE8D9DE"/>
      </top>
      <bottom style="thin">
        <color rgb="FFE8D9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vertical="center" wrapText="1"/>
    </xf>
    <xf numFmtId="0" fontId="3" fillId="4" borderId="0" xfId="0" applyNumberFormat="1" applyFont="1" applyFill="1" applyBorder="1" applyAlignment="1">
      <alignment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vertical="top" wrapText="1"/>
    </xf>
    <xf numFmtId="178" fontId="6" fillId="3" borderId="2" xfId="0" applyNumberFormat="1" applyFont="1" applyFill="1" applyBorder="1" applyAlignment="1">
      <alignment horizontal="center" vertical="top" wrapText="1"/>
    </xf>
    <xf numFmtId="0" fontId="5" fillId="5" borderId="2" xfId="0" applyNumberFormat="1" applyFont="1" applyFill="1" applyBorder="1" applyAlignment="1">
      <alignment vertical="top" wrapText="1"/>
    </xf>
    <xf numFmtId="0" fontId="5" fillId="5" borderId="2" xfId="0" applyNumberFormat="1" applyFont="1" applyFill="1" applyBorder="1" applyAlignment="1">
      <alignment horizontal="center" vertical="top" wrapText="1"/>
    </xf>
    <xf numFmtId="0" fontId="5" fillId="3" borderId="2" xfId="0" applyNumberFormat="1" applyFont="1" applyFill="1" applyBorder="1" applyAlignment="1">
      <alignment horizontal="center" vertical="top" wrapText="1"/>
    </xf>
    <xf numFmtId="0" fontId="7" fillId="2" borderId="1" xfId="0" applyNumberFormat="1" applyFont="1" applyFill="1" applyBorder="1" applyAlignment="1">
      <alignment vertical="center"/>
    </xf>
    <xf numFmtId="178" fontId="7" fillId="2" borderId="1" xfId="0" applyNumberFormat="1" applyFont="1" applyFill="1" applyBorder="1" applyAlignment="1">
      <alignment horizontal="center" vertical="center"/>
    </xf>
    <xf numFmtId="179" fontId="3" fillId="6" borderId="0" xfId="0" applyNumberFormat="1" applyFont="1" applyFill="1" applyBorder="1" applyAlignment="1">
      <alignment horizontal="center"/>
    </xf>
    <xf numFmtId="0" fontId="3" fillId="4" borderId="0" xfId="0" applyNumberFormat="1" applyFont="1" applyFill="1" applyBorder="1" applyAlignment="1">
      <alignment horizontal="center"/>
    </xf>
    <xf numFmtId="180" fontId="5" fillId="3" borderId="2" xfId="0" applyNumberFormat="1" applyFont="1" applyFill="1" applyBorder="1" applyAlignment="1">
      <alignment horizontal="center" vertical="top" wrapText="1"/>
    </xf>
    <xf numFmtId="180" fontId="5" fillId="5" borderId="2" xfId="0" applyNumberFormat="1" applyFont="1" applyFill="1" applyBorder="1" applyAlignment="1">
      <alignment horizontal="center" vertical="top" wrapText="1"/>
    </xf>
    <xf numFmtId="0" fontId="6" fillId="4" borderId="0" xfId="0" applyNumberFormat="1" applyFont="1" applyFill="1" applyBorder="1" applyAlignment="1">
      <alignment horizontal="center"/>
    </xf>
    <xf numFmtId="0" fontId="3" fillId="7" borderId="0" xfId="0" applyNumberFormat="1" applyFont="1" applyFill="1" applyBorder="1" applyAlignment="1">
      <alignment horizontal="center"/>
    </xf>
    <xf numFmtId="0" fontId="6" fillId="7" borderId="0" xfId="0" applyNumberFormat="1" applyFont="1" applyFill="1" applyBorder="1" applyAlignment="1">
      <alignment horizontal="center"/>
    </xf>
    <xf numFmtId="0" fontId="5" fillId="6" borderId="2" xfId="0" applyNumberFormat="1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font>
        <color rgb="FF4A3540"/>
      </font>
      <fill>
        <patternFill patternType="solid">
          <bgColor rgb="FFFCECEF"/>
        </patternFill>
      </fill>
    </dxf>
    <dxf>
      <font>
        <b val="1"/>
        <color rgb="FFA24E64"/>
      </font>
      <fill>
        <patternFill patternType="solid">
          <bgColor rgb="FFF8E9ED"/>
        </patternFill>
      </fill>
    </dxf>
    <dxf>
      <font>
        <b val="1"/>
        <color rgb="FF4A3540"/>
      </font>
      <fill>
        <patternFill patternType="solid">
          <bgColor rgb="FFF4E5EB"/>
        </patternFill>
      </fill>
    </dxf>
    <dxf>
      <font>
        <b val="1"/>
        <color rgb="FFA24E64"/>
      </font>
      <fill>
        <patternFill patternType="solid">
          <bgColor rgb="FFF7DDE4"/>
        </patternFill>
      </fill>
    </dxf>
    <dxf>
      <font>
        <b val="1"/>
        <color rgb="FFA24E64"/>
      </font>
      <fill>
        <patternFill patternType="solid">
          <bgColor rgb="FFF9E6EC"/>
        </patternFill>
      </fill>
    </dxf>
    <dxf>
      <font>
        <b val="1"/>
        <color rgb="FF4A3540"/>
      </font>
      <fill>
        <patternFill patternType="solid">
          <bgColor rgb="FFEFDDE3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LichNoiDungLily" displayName="LichNoiDungLily" ref="A5:K17" totalsRowShown="0">
  <tableColumns count="11">
    <tableColumn id="1" name="Mã"/>
    <tableColumn id="2" name="Ngày đăng"/>
    <tableColumn id="3" name="Tuần"/>
    <tableColumn id="4" name="Video / chủ đề"/>
    <tableColumn id="5" name="Nhóm nội dung"/>
    <tableColumn id="6" name="Mục tiêu cảm xúc"/>
    <tableColumn id="7" name="Bối cảnh chính"/>
    <tableColumn id="8" name="Định dạng"/>
    <tableColumn id="9" name="Thời lượng"/>
    <tableColumn id="10" name="Gói áp dụng"/>
    <tableColumn id="11" name="Trạng thái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KichBanLily" displayName="KichBanLily" ref="A4:H16" totalsRowShown="0">
  <tableColumns count="8">
    <tableColumn id="1" name="Mã"/>
    <tableColumn id="2" name="Video"/>
    <tableColumn id="3" name="Mục tiêu &amp; cảm xúc"/>
    <tableColumn id="4" name="Hook 0–3 giây"/>
    <tableColumn id="5" name="Chữ trên màn hình"/>
    <tableColumn id="6" name="Voice-over theo nhịp"/>
    <tableColumn id="7" name="Storyboard tóm tắt"/>
    <tableColumn id="8" name="Caption + CTA + hashtag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CanhQuayLily" displayName="CanhQuayLily" ref="A4:G100" totalsRowShown="0">
  <tableColumns count="7">
    <tableColumn id="1" name="Mã"/>
    <tableColumn id="2" name="Mốc thời gian"/>
    <tableColumn id="3" name="Cảnh cần quay"/>
    <tableColumn id="4" name="Bối cảnh"/>
    <tableColumn id="5" name="Góc máy"/>
    <tableColumn id="6" name="Thời lượng"/>
    <tableColumn id="7" name="Mẹo / riêng tư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BatchQuayLily" displayName="BatchQuayLily" ref="A4:G8" totalsRowShown="0">
  <tableColumns count="7">
    <tableColumn id="1" name="Buổi"/>
    <tableColumn id="2" name="Thời điểm"/>
    <tableColumn id="3" name="Video"/>
    <tableColumn id="4" name="Bối cảnh"/>
    <tableColumn id="5" name="Cảnh bắt buộc"/>
    <tableColumn id="6" name="Thời gian"/>
    <tableColumn id="7" name="Lưu ý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BaoGiaLily" displayName="BaoGiaLily" ref="A5:C15" totalsRowShown="0">
  <tableColumns count="3">
    <tableColumn id="1" name="Hạng mục"/>
    <tableColumn id="2" name="Gói Đồng hành 8"/>
    <tableColumn id="3" name="Gói Duy trì 1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showGridLines="0" topLeftCell="A27" workbookViewId="0">
      <selection activeCell="A1" sqref="A1:H1"/>
    </sheetView>
  </sheetViews>
  <sheetFormatPr defaultColWidth="9" defaultRowHeight="16.8" outlineLevelCol="7"/>
  <cols>
    <col min="1" max="1" width="20" customWidth="1"/>
    <col min="2" max="2" width="24" customWidth="1"/>
    <col min="3" max="3" width="22" customWidth="1"/>
    <col min="4" max="8" width="16" customWidth="1"/>
  </cols>
  <sheetData>
    <row r="1" ht="32" customHeight="1" spans="1:8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2" ht="26" customHeight="1" spans="1:8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</row>
    <row r="4" ht="24" customHeight="1" spans="1:8">
      <c r="A4" s="3" t="s">
        <v>2</v>
      </c>
      <c r="B4" s="3" t="s">
        <v>2</v>
      </c>
      <c r="C4" s="3" t="s">
        <v>2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</row>
    <row r="5" ht="35" customHeight="1" spans="1:8">
      <c r="A5" s="4" t="s">
        <v>3</v>
      </c>
      <c r="B5" s="5" t="s">
        <v>4</v>
      </c>
      <c r="C5" s="5"/>
      <c r="D5" s="5"/>
      <c r="E5" s="5"/>
      <c r="F5" s="5"/>
      <c r="G5" s="5"/>
      <c r="H5" s="5"/>
    </row>
    <row r="6" ht="35" customHeight="1" spans="1:8">
      <c r="A6" s="4" t="s">
        <v>5</v>
      </c>
      <c r="B6" s="5" t="s">
        <v>6</v>
      </c>
      <c r="C6" s="5"/>
      <c r="D6" s="5"/>
      <c r="E6" s="5"/>
      <c r="F6" s="5"/>
      <c r="G6" s="5"/>
      <c r="H6" s="5"/>
    </row>
    <row r="7" ht="35" customHeight="1" spans="1:8">
      <c r="A7" s="4" t="s">
        <v>7</v>
      </c>
      <c r="B7" s="5" t="s">
        <v>8</v>
      </c>
      <c r="C7" s="5"/>
      <c r="D7" s="5"/>
      <c r="E7" s="5"/>
      <c r="F7" s="5"/>
      <c r="G7" s="5"/>
      <c r="H7" s="5"/>
    </row>
    <row r="9" ht="24" customHeight="1" spans="1:8">
      <c r="A9" s="3" t="s">
        <v>9</v>
      </c>
      <c r="B9" s="3" t="s">
        <v>9</v>
      </c>
      <c r="C9" s="3" t="s">
        <v>9</v>
      </c>
      <c r="D9" s="3" t="s">
        <v>9</v>
      </c>
      <c r="E9" s="3" t="s">
        <v>9</v>
      </c>
      <c r="F9" s="3" t="s">
        <v>9</v>
      </c>
      <c r="G9" s="3" t="s">
        <v>9</v>
      </c>
      <c r="H9" s="3" t="s">
        <v>9</v>
      </c>
    </row>
    <row r="10" ht="28" customHeight="1" spans="1:4">
      <c r="A10" s="4" t="s">
        <v>10</v>
      </c>
      <c r="B10" s="4" t="s">
        <v>11</v>
      </c>
      <c r="C10" s="4" t="s">
        <v>12</v>
      </c>
      <c r="D10" s="4" t="s">
        <v>13</v>
      </c>
    </row>
    <row r="11" ht="44" customHeight="1" spans="1:4">
      <c r="A11" s="7" t="s">
        <v>14</v>
      </c>
      <c r="B11" s="7">
        <v>5</v>
      </c>
      <c r="C11" s="7" t="s">
        <v>15</v>
      </c>
      <c r="D11" s="7" t="s">
        <v>16</v>
      </c>
    </row>
    <row r="12" ht="44" customHeight="1" spans="1:4">
      <c r="A12" s="5" t="s">
        <v>17</v>
      </c>
      <c r="B12" s="5">
        <v>3</v>
      </c>
      <c r="C12" s="5" t="s">
        <v>18</v>
      </c>
      <c r="D12" s="5" t="s">
        <v>19</v>
      </c>
    </row>
    <row r="13" ht="44" customHeight="1" spans="1:4">
      <c r="A13" s="7" t="s">
        <v>20</v>
      </c>
      <c r="B13" s="7">
        <v>2</v>
      </c>
      <c r="C13" s="7" t="s">
        <v>21</v>
      </c>
      <c r="D13" s="7" t="s">
        <v>22</v>
      </c>
    </row>
    <row r="14" ht="44" customHeight="1" spans="1:4">
      <c r="A14" s="5" t="s">
        <v>23</v>
      </c>
      <c r="B14" s="5">
        <v>1</v>
      </c>
      <c r="C14" s="5" t="s">
        <v>24</v>
      </c>
      <c r="D14" s="5" t="s">
        <v>25</v>
      </c>
    </row>
    <row r="16" ht="24" customHeight="1" spans="1:8">
      <c r="A16" s="3" t="s">
        <v>26</v>
      </c>
      <c r="B16" s="3" t="s">
        <v>26</v>
      </c>
      <c r="C16" s="3" t="s">
        <v>26</v>
      </c>
      <c r="D16" s="3" t="s">
        <v>26</v>
      </c>
      <c r="E16" s="3" t="s">
        <v>26</v>
      </c>
      <c r="F16" s="3" t="s">
        <v>26</v>
      </c>
      <c r="G16" s="3" t="s">
        <v>26</v>
      </c>
      <c r="H16" s="3" t="s">
        <v>26</v>
      </c>
    </row>
    <row r="17" ht="35" customHeight="1" spans="1:8">
      <c r="A17" s="4" t="s">
        <v>27</v>
      </c>
      <c r="B17" s="7" t="s">
        <v>28</v>
      </c>
      <c r="C17" s="7"/>
      <c r="D17" s="7"/>
      <c r="E17" s="7"/>
      <c r="F17" s="7"/>
      <c r="G17" s="7"/>
      <c r="H17" s="7"/>
    </row>
    <row r="18" ht="35" customHeight="1" spans="1:8">
      <c r="A18" s="4" t="s">
        <v>29</v>
      </c>
      <c r="B18" s="7" t="s">
        <v>30</v>
      </c>
      <c r="C18" s="7"/>
      <c r="D18" s="7"/>
      <c r="E18" s="7"/>
      <c r="F18" s="7"/>
      <c r="G18" s="7"/>
      <c r="H18" s="7"/>
    </row>
    <row r="19" ht="35" customHeight="1" spans="1:8">
      <c r="A19" s="4" t="s">
        <v>31</v>
      </c>
      <c r="B19" s="7" t="s">
        <v>32</v>
      </c>
      <c r="C19" s="7"/>
      <c r="D19" s="7"/>
      <c r="E19" s="7"/>
      <c r="F19" s="7"/>
      <c r="G19" s="7"/>
      <c r="H19" s="7"/>
    </row>
    <row r="20" ht="35" customHeight="1" spans="1:8">
      <c r="A20" s="4" t="s">
        <v>33</v>
      </c>
      <c r="B20" s="7" t="s">
        <v>34</v>
      </c>
      <c r="C20" s="7"/>
      <c r="D20" s="7"/>
      <c r="E20" s="7"/>
      <c r="F20" s="7"/>
      <c r="G20" s="7"/>
      <c r="H20" s="7"/>
    </row>
    <row r="22" ht="24" customHeight="1" spans="1:8">
      <c r="A22" s="3" t="s">
        <v>35</v>
      </c>
      <c r="B22" s="3" t="s">
        <v>35</v>
      </c>
      <c r="C22" s="3" t="s">
        <v>35</v>
      </c>
      <c r="D22" s="3" t="s">
        <v>35</v>
      </c>
      <c r="E22" s="3" t="s">
        <v>35</v>
      </c>
      <c r="F22" s="3" t="s">
        <v>35</v>
      </c>
      <c r="G22" s="3" t="s">
        <v>35</v>
      </c>
      <c r="H22" s="3" t="s">
        <v>35</v>
      </c>
    </row>
    <row r="23" ht="28" customHeight="1" spans="1:3">
      <c r="A23" s="4" t="s">
        <v>36</v>
      </c>
      <c r="B23" s="4" t="s">
        <v>37</v>
      </c>
      <c r="C23" s="4" t="s">
        <v>38</v>
      </c>
    </row>
    <row r="24" ht="50" customHeight="1" spans="1:3">
      <c r="A24" s="5" t="s">
        <v>39</v>
      </c>
      <c r="B24" s="5" t="s">
        <v>40</v>
      </c>
      <c r="C24" s="5" t="s">
        <v>41</v>
      </c>
    </row>
    <row r="25" ht="50" customHeight="1" spans="1:3">
      <c r="A25" s="7" t="s">
        <v>42</v>
      </c>
      <c r="B25" s="7" t="s">
        <v>43</v>
      </c>
      <c r="C25" s="7" t="s">
        <v>44</v>
      </c>
    </row>
    <row r="26" ht="50" customHeight="1" spans="1:3">
      <c r="A26" s="5" t="s">
        <v>45</v>
      </c>
      <c r="B26" s="5" t="s">
        <v>46</v>
      </c>
      <c r="C26" s="5" t="s">
        <v>47</v>
      </c>
    </row>
    <row r="27" ht="50" customHeight="1" spans="1:3">
      <c r="A27" s="7" t="s">
        <v>48</v>
      </c>
      <c r="B27" s="7" t="s">
        <v>49</v>
      </c>
      <c r="C27" s="7" t="s">
        <v>50</v>
      </c>
    </row>
    <row r="28" ht="50" customHeight="1" spans="1:3">
      <c r="A28" s="5" t="s">
        <v>51</v>
      </c>
      <c r="B28" s="5" t="s">
        <v>52</v>
      </c>
      <c r="C28" s="5" t="s">
        <v>53</v>
      </c>
    </row>
    <row r="29" ht="50" customHeight="1" spans="1:3">
      <c r="A29" s="7" t="s">
        <v>54</v>
      </c>
      <c r="B29" s="7" t="s">
        <v>55</v>
      </c>
      <c r="C29" s="7" t="s">
        <v>56</v>
      </c>
    </row>
    <row r="31" ht="24" customHeight="1" spans="1:8">
      <c r="A31" s="3" t="s">
        <v>57</v>
      </c>
      <c r="B31" s="3" t="s">
        <v>57</v>
      </c>
      <c r="C31" s="3" t="s">
        <v>57</v>
      </c>
      <c r="D31" s="3" t="s">
        <v>57</v>
      </c>
      <c r="E31" s="3" t="s">
        <v>57</v>
      </c>
      <c r="F31" s="3" t="s">
        <v>57</v>
      </c>
      <c r="G31" s="3" t="s">
        <v>57</v>
      </c>
      <c r="H31" s="3" t="s">
        <v>57</v>
      </c>
    </row>
    <row r="32" ht="39" customHeight="1" spans="1:8">
      <c r="A32" s="4" t="s">
        <v>58</v>
      </c>
      <c r="B32" s="19" t="s">
        <v>59</v>
      </c>
      <c r="C32" s="19"/>
      <c r="D32" s="19"/>
      <c r="E32" s="19"/>
      <c r="F32" s="19"/>
      <c r="G32" s="19"/>
      <c r="H32" s="19"/>
    </row>
    <row r="33" ht="39" customHeight="1" spans="1:8">
      <c r="A33" s="4" t="s">
        <v>60</v>
      </c>
      <c r="B33" s="19" t="s">
        <v>61</v>
      </c>
      <c r="C33" s="19"/>
      <c r="D33" s="19"/>
      <c r="E33" s="19"/>
      <c r="F33" s="19"/>
      <c r="G33" s="19"/>
      <c r="H33" s="19"/>
    </row>
    <row r="34" ht="39" customHeight="1" spans="1:8">
      <c r="A34" s="4" t="s">
        <v>62</v>
      </c>
      <c r="B34" s="19" t="s">
        <v>63</v>
      </c>
      <c r="C34" s="19"/>
      <c r="D34" s="19"/>
      <c r="E34" s="19"/>
      <c r="F34" s="19"/>
      <c r="G34" s="19"/>
      <c r="H34" s="19"/>
    </row>
  </sheetData>
  <mergeCells count="17">
    <mergeCell ref="A1:H1"/>
    <mergeCell ref="A2:H2"/>
    <mergeCell ref="A4:H4"/>
    <mergeCell ref="B5:H5"/>
    <mergeCell ref="B6:H6"/>
    <mergeCell ref="B7:H7"/>
    <mergeCell ref="A9:H9"/>
    <mergeCell ref="A16:H16"/>
    <mergeCell ref="B17:H17"/>
    <mergeCell ref="B18:H18"/>
    <mergeCell ref="B19:H19"/>
    <mergeCell ref="B20:H20"/>
    <mergeCell ref="A22:H22"/>
    <mergeCell ref="A31:H31"/>
    <mergeCell ref="B32:H32"/>
    <mergeCell ref="B33:H33"/>
    <mergeCell ref="B34:H3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showGridLines="0" topLeftCell="A10" workbookViewId="0">
      <selection activeCell="A11" sqref="$A11:$XFD17"/>
    </sheetView>
  </sheetViews>
  <sheetFormatPr defaultColWidth="9" defaultRowHeight="16.8"/>
  <cols>
    <col min="1" max="1" width="8" customWidth="1"/>
    <col min="2" max="2" width="16" customWidth="1"/>
    <col min="3" max="3" width="11" customWidth="1"/>
    <col min="4" max="4" width="36" customWidth="1"/>
    <col min="5" max="5" width="22" customWidth="1"/>
    <col min="6" max="6" width="29" customWidth="1"/>
    <col min="7" max="7" width="24" customWidth="1"/>
    <col min="8" max="8" width="20" customWidth="1"/>
    <col min="9" max="9" width="12" customWidth="1"/>
    <col min="10" max="11" width="18" customWidth="1"/>
  </cols>
  <sheetData>
    <row r="1" ht="32" customHeight="1" spans="1:11">
      <c r="A1" s="1" t="s">
        <v>64</v>
      </c>
      <c r="B1" s="1" t="s">
        <v>64</v>
      </c>
      <c r="C1" s="1" t="s">
        <v>64</v>
      </c>
      <c r="D1" s="1" t="s">
        <v>64</v>
      </c>
      <c r="E1" s="1" t="s">
        <v>64</v>
      </c>
      <c r="F1" s="1" t="s">
        <v>64</v>
      </c>
      <c r="G1" s="1" t="s">
        <v>64</v>
      </c>
      <c r="H1" s="1" t="s">
        <v>64</v>
      </c>
      <c r="I1" s="1" t="s">
        <v>64</v>
      </c>
      <c r="J1" s="1" t="s">
        <v>64</v>
      </c>
      <c r="K1" s="1" t="s">
        <v>64</v>
      </c>
    </row>
    <row r="2" ht="26" customHeight="1" spans="1:11">
      <c r="A2" s="2" t="s">
        <v>65</v>
      </c>
      <c r="B2" s="2" t="s">
        <v>65</v>
      </c>
      <c r="C2" s="2" t="s">
        <v>65</v>
      </c>
      <c r="D2" s="2" t="s">
        <v>65</v>
      </c>
      <c r="E2" s="2" t="s">
        <v>65</v>
      </c>
      <c r="F2" s="2" t="s">
        <v>65</v>
      </c>
      <c r="G2" s="2" t="s">
        <v>65</v>
      </c>
      <c r="H2" s="2" t="s">
        <v>65</v>
      </c>
      <c r="I2" s="2" t="s">
        <v>65</v>
      </c>
      <c r="J2" s="2" t="s">
        <v>65</v>
      </c>
      <c r="K2" s="2" t="s">
        <v>65</v>
      </c>
    </row>
    <row r="3" ht="24" customHeight="1" spans="1:8">
      <c r="A3" s="3" t="s">
        <v>66</v>
      </c>
      <c r="B3" s="12">
        <v>46272</v>
      </c>
      <c r="C3" t="s">
        <v>67</v>
      </c>
      <c r="D3" s="13" t="s">
        <v>68</v>
      </c>
      <c r="E3" s="16">
        <f>COUNTA(A6:A17)</f>
        <v>12</v>
      </c>
      <c r="F3" t="s">
        <v>67</v>
      </c>
      <c r="G3" s="17" t="s">
        <v>69</v>
      </c>
      <c r="H3" s="18">
        <f>COUNTIF(K6:K17,"Đã đăng")</f>
        <v>0</v>
      </c>
    </row>
    <row r="5" ht="28" customHeight="1" spans="1:11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  <c r="F5" s="4" t="s">
        <v>75</v>
      </c>
      <c r="G5" s="4" t="s">
        <v>76</v>
      </c>
      <c r="H5" s="4" t="s">
        <v>77</v>
      </c>
      <c r="I5" s="4" t="s">
        <v>78</v>
      </c>
      <c r="J5" s="4" t="s">
        <v>79</v>
      </c>
      <c r="K5" s="4" t="s">
        <v>80</v>
      </c>
    </row>
    <row r="6" ht="50" customHeight="1" spans="1:11">
      <c r="A6" s="9" t="s">
        <v>81</v>
      </c>
      <c r="B6" s="14">
        <f>$B$3</f>
        <v>46272</v>
      </c>
      <c r="C6" s="9" t="s">
        <v>82</v>
      </c>
      <c r="D6" s="5" t="s">
        <v>83</v>
      </c>
      <c r="E6" s="5" t="s">
        <v>84</v>
      </c>
      <c r="F6" s="5" t="s">
        <v>85</v>
      </c>
      <c r="G6" s="5" t="s">
        <v>86</v>
      </c>
      <c r="H6" s="9" t="s">
        <v>87</v>
      </c>
      <c r="I6" s="9" t="s">
        <v>88</v>
      </c>
      <c r="J6" s="9" t="s">
        <v>89</v>
      </c>
      <c r="K6" s="9" t="s">
        <v>90</v>
      </c>
    </row>
    <row r="7" ht="50" customHeight="1" spans="1:11">
      <c r="A7" s="8" t="s">
        <v>91</v>
      </c>
      <c r="B7" s="15">
        <f>B6+2</f>
        <v>46274</v>
      </c>
      <c r="C7" s="8" t="s">
        <v>82</v>
      </c>
      <c r="D7" s="7" t="s">
        <v>92</v>
      </c>
      <c r="E7" s="7" t="s">
        <v>93</v>
      </c>
      <c r="F7" s="7" t="s">
        <v>94</v>
      </c>
      <c r="G7" s="7" t="s">
        <v>95</v>
      </c>
      <c r="H7" s="8" t="s">
        <v>87</v>
      </c>
      <c r="I7" s="8" t="s">
        <v>88</v>
      </c>
      <c r="J7" s="8" t="s">
        <v>89</v>
      </c>
      <c r="K7" s="8" t="s">
        <v>90</v>
      </c>
    </row>
    <row r="8" ht="50" customHeight="1" spans="1:11">
      <c r="A8" s="9" t="s">
        <v>96</v>
      </c>
      <c r="B8" s="14">
        <f>B7+2</f>
        <v>46276</v>
      </c>
      <c r="C8" s="9" t="s">
        <v>82</v>
      </c>
      <c r="D8" s="5" t="s">
        <v>97</v>
      </c>
      <c r="E8" s="5" t="s">
        <v>98</v>
      </c>
      <c r="F8" s="5" t="s">
        <v>99</v>
      </c>
      <c r="G8" s="5" t="s">
        <v>100</v>
      </c>
      <c r="H8" s="9" t="s">
        <v>87</v>
      </c>
      <c r="I8" s="9" t="s">
        <v>88</v>
      </c>
      <c r="J8" s="9" t="s">
        <v>101</v>
      </c>
      <c r="K8" s="9" t="s">
        <v>90</v>
      </c>
    </row>
    <row r="9" ht="50" customHeight="1" spans="1:11">
      <c r="A9" s="8" t="s">
        <v>102</v>
      </c>
      <c r="B9" s="15">
        <f>B8+3</f>
        <v>46279</v>
      </c>
      <c r="C9" s="8" t="s">
        <v>103</v>
      </c>
      <c r="D9" s="7" t="s">
        <v>104</v>
      </c>
      <c r="E9" s="7" t="s">
        <v>105</v>
      </c>
      <c r="F9" s="7" t="s">
        <v>106</v>
      </c>
      <c r="G9" s="7" t="s">
        <v>107</v>
      </c>
      <c r="H9" s="8" t="s">
        <v>87</v>
      </c>
      <c r="I9" s="8" t="s">
        <v>88</v>
      </c>
      <c r="J9" s="8" t="s">
        <v>89</v>
      </c>
      <c r="K9" s="8" t="s">
        <v>90</v>
      </c>
    </row>
    <row r="10" ht="50" customHeight="1" spans="1:11">
      <c r="A10" s="9" t="s">
        <v>108</v>
      </c>
      <c r="B10" s="14">
        <f>B9+2</f>
        <v>46281</v>
      </c>
      <c r="C10" s="9" t="s">
        <v>103</v>
      </c>
      <c r="D10" s="5" t="s">
        <v>109</v>
      </c>
      <c r="E10" s="5" t="s">
        <v>110</v>
      </c>
      <c r="F10" s="5" t="s">
        <v>111</v>
      </c>
      <c r="G10" s="5" t="s">
        <v>112</v>
      </c>
      <c r="H10" s="9" t="s">
        <v>87</v>
      </c>
      <c r="I10" s="9" t="s">
        <v>88</v>
      </c>
      <c r="J10" s="9" t="s">
        <v>89</v>
      </c>
      <c r="K10" s="9" t="s">
        <v>90</v>
      </c>
    </row>
    <row r="11" ht="50" customHeight="1" spans="1:11">
      <c r="A11" s="8" t="s">
        <v>113</v>
      </c>
      <c r="B11" s="15">
        <f>B10+2</f>
        <v>46283</v>
      </c>
      <c r="C11" s="8" t="s">
        <v>103</v>
      </c>
      <c r="D11" s="7" t="s">
        <v>114</v>
      </c>
      <c r="E11" s="7" t="s">
        <v>20</v>
      </c>
      <c r="F11" s="7" t="s">
        <v>115</v>
      </c>
      <c r="G11" s="7" t="s">
        <v>116</v>
      </c>
      <c r="H11" s="8" t="s">
        <v>87</v>
      </c>
      <c r="I11" s="8" t="s">
        <v>88</v>
      </c>
      <c r="J11" s="8" t="s">
        <v>89</v>
      </c>
      <c r="K11" s="8" t="s">
        <v>90</v>
      </c>
    </row>
    <row r="12" ht="50" customHeight="1" spans="1:11">
      <c r="A12" s="9" t="s">
        <v>117</v>
      </c>
      <c r="B12" s="14">
        <f>B11+3</f>
        <v>46286</v>
      </c>
      <c r="C12" s="9" t="s">
        <v>118</v>
      </c>
      <c r="D12" s="5" t="s">
        <v>119</v>
      </c>
      <c r="E12" s="5" t="s">
        <v>93</v>
      </c>
      <c r="F12" s="5" t="s">
        <v>120</v>
      </c>
      <c r="G12" s="5" t="s">
        <v>121</v>
      </c>
      <c r="H12" s="9" t="s">
        <v>87</v>
      </c>
      <c r="I12" s="9" t="s">
        <v>88</v>
      </c>
      <c r="J12" s="9" t="s">
        <v>89</v>
      </c>
      <c r="K12" s="9" t="s">
        <v>90</v>
      </c>
    </row>
    <row r="13" ht="50" customHeight="1" spans="1:11">
      <c r="A13" s="8" t="s">
        <v>122</v>
      </c>
      <c r="B13" s="15">
        <f>B12+2</f>
        <v>46288</v>
      </c>
      <c r="C13" s="8" t="s">
        <v>118</v>
      </c>
      <c r="D13" s="7" t="s">
        <v>123</v>
      </c>
      <c r="E13" s="7" t="s">
        <v>98</v>
      </c>
      <c r="F13" s="7" t="s">
        <v>124</v>
      </c>
      <c r="G13" s="7" t="s">
        <v>125</v>
      </c>
      <c r="H13" s="8" t="s">
        <v>87</v>
      </c>
      <c r="I13" s="8" t="s">
        <v>88</v>
      </c>
      <c r="J13" s="8" t="s">
        <v>101</v>
      </c>
      <c r="K13" s="8" t="s">
        <v>90</v>
      </c>
    </row>
    <row r="14" ht="50" customHeight="1" spans="1:11">
      <c r="A14" s="9" t="s">
        <v>126</v>
      </c>
      <c r="B14" s="14">
        <f>B13+2</f>
        <v>46290</v>
      </c>
      <c r="C14" s="9" t="s">
        <v>118</v>
      </c>
      <c r="D14" s="5" t="s">
        <v>127</v>
      </c>
      <c r="E14" s="5" t="s">
        <v>128</v>
      </c>
      <c r="F14" s="5" t="s">
        <v>129</v>
      </c>
      <c r="G14" s="5" t="s">
        <v>130</v>
      </c>
      <c r="H14" s="9" t="s">
        <v>87</v>
      </c>
      <c r="I14" s="9" t="s">
        <v>88</v>
      </c>
      <c r="J14" s="9" t="s">
        <v>101</v>
      </c>
      <c r="K14" s="9" t="s">
        <v>90</v>
      </c>
    </row>
    <row r="15" ht="50" customHeight="1" spans="1:11">
      <c r="A15" s="8" t="s">
        <v>131</v>
      </c>
      <c r="B15" s="15">
        <f>B14+3</f>
        <v>46293</v>
      </c>
      <c r="C15" s="8" t="s">
        <v>132</v>
      </c>
      <c r="D15" s="7" t="s">
        <v>133</v>
      </c>
      <c r="E15" s="7" t="s">
        <v>134</v>
      </c>
      <c r="F15" s="7" t="s">
        <v>135</v>
      </c>
      <c r="G15" s="7" t="s">
        <v>136</v>
      </c>
      <c r="H15" s="8" t="s">
        <v>87</v>
      </c>
      <c r="I15" s="8" t="s">
        <v>88</v>
      </c>
      <c r="J15" s="8" t="s">
        <v>89</v>
      </c>
      <c r="K15" s="8" t="s">
        <v>90</v>
      </c>
    </row>
    <row r="16" ht="50" customHeight="1" spans="1:11">
      <c r="A16" s="9" t="s">
        <v>137</v>
      </c>
      <c r="B16" s="14">
        <f>B15+2</f>
        <v>46295</v>
      </c>
      <c r="C16" s="9" t="s">
        <v>132</v>
      </c>
      <c r="D16" s="5" t="s">
        <v>138</v>
      </c>
      <c r="E16" s="5" t="s">
        <v>139</v>
      </c>
      <c r="F16" s="5" t="s">
        <v>140</v>
      </c>
      <c r="G16" s="5" t="s">
        <v>141</v>
      </c>
      <c r="H16" s="9" t="s">
        <v>87</v>
      </c>
      <c r="I16" s="9" t="s">
        <v>88</v>
      </c>
      <c r="J16" s="9" t="s">
        <v>89</v>
      </c>
      <c r="K16" s="9" t="s">
        <v>90</v>
      </c>
    </row>
    <row r="17" ht="50" customHeight="1" spans="1:11">
      <c r="A17" s="8" t="s">
        <v>142</v>
      </c>
      <c r="B17" s="15">
        <f>B16+2</f>
        <v>46297</v>
      </c>
      <c r="C17" s="8" t="s">
        <v>132</v>
      </c>
      <c r="D17" s="7" t="s">
        <v>143</v>
      </c>
      <c r="E17" s="7" t="s">
        <v>144</v>
      </c>
      <c r="F17" s="7" t="s">
        <v>145</v>
      </c>
      <c r="G17" s="7" t="s">
        <v>146</v>
      </c>
      <c r="H17" s="8" t="s">
        <v>87</v>
      </c>
      <c r="I17" s="8" t="s">
        <v>88</v>
      </c>
      <c r="J17" s="8" t="s">
        <v>101</v>
      </c>
      <c r="K17" s="8" t="s">
        <v>90</v>
      </c>
    </row>
  </sheetData>
  <mergeCells count="2">
    <mergeCell ref="A1:K1"/>
    <mergeCell ref="A2:K2"/>
  </mergeCells>
  <conditionalFormatting sqref="K6:K17">
    <cfRule type="containsText" dxfId="0" priority="1" operator="between" text="Chưa quay">
      <formula>NOT(ISERROR(SEARCH("Chưa quay",K6)))</formula>
    </cfRule>
    <cfRule type="containsText" dxfId="1" priority="2" operator="between" text="Đang quay">
      <formula>NOT(ISERROR(SEARCH("Đang quay",K6)))</formula>
    </cfRule>
    <cfRule type="containsText" dxfId="2" priority="3" operator="between" text="Đã gửi footage">
      <formula>NOT(ISERROR(SEARCH("Đã gửi footage",K6)))</formula>
    </cfRule>
    <cfRule type="containsText" dxfId="3" priority="4" operator="between" text="Đang dựng">
      <formula>NOT(ISERROR(SEARCH("Đang dựng",K6)))</formula>
    </cfRule>
    <cfRule type="containsText" dxfId="4" priority="5" operator="between" text="Chờ duyệt">
      <formula>NOT(ISERROR(SEARCH("Chờ duyệt",K6)))</formula>
    </cfRule>
    <cfRule type="containsText" dxfId="5" priority="6" operator="between" text="Đã đăng">
      <formula>NOT(ISERROR(SEARCH("Đã đăng",K6)))</formula>
    </cfRule>
  </conditionalFormatting>
  <dataValidations count="1">
    <dataValidation type="list" sqref="K6:K17">
      <formula1>"Chưa quay,Đang quay,Đã gửi footage,Đang dựng,Chờ duyệt,Đã đăng"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showGridLines="0" tabSelected="1" topLeftCell="A14" workbookViewId="0">
      <selection activeCell="A10" sqref="$A10:$XFD16"/>
    </sheetView>
  </sheetViews>
  <sheetFormatPr defaultColWidth="9" defaultRowHeight="16.8" outlineLevelCol="7"/>
  <cols>
    <col min="1" max="1" width="8" customWidth="1"/>
    <col min="2" max="2" width="30" customWidth="1"/>
    <col min="3" max="3" width="28" customWidth="1"/>
    <col min="4" max="4" width="20.1826923076923" customWidth="1"/>
    <col min="5" max="5" width="31" customWidth="1"/>
    <col min="6" max="6" width="66" customWidth="1"/>
    <col min="7" max="7" width="48" customWidth="1"/>
    <col min="8" max="8" width="45" customWidth="1"/>
  </cols>
  <sheetData>
    <row r="1" ht="32" customHeight="1" spans="1:8">
      <c r="A1" s="1" t="s">
        <v>147</v>
      </c>
      <c r="B1" s="1" t="s">
        <v>147</v>
      </c>
      <c r="C1" s="1" t="s">
        <v>147</v>
      </c>
      <c r="D1" s="1" t="s">
        <v>147</v>
      </c>
      <c r="E1" s="1" t="s">
        <v>147</v>
      </c>
      <c r="F1" s="1" t="s">
        <v>147</v>
      </c>
      <c r="G1" s="1" t="s">
        <v>147</v>
      </c>
      <c r="H1" s="1" t="s">
        <v>147</v>
      </c>
    </row>
    <row r="2" ht="26" customHeight="1" spans="1:8">
      <c r="A2" s="2" t="s">
        <v>148</v>
      </c>
      <c r="B2" s="2" t="s">
        <v>148</v>
      </c>
      <c r="C2" s="2" t="s">
        <v>148</v>
      </c>
      <c r="D2" s="2" t="s">
        <v>148</v>
      </c>
      <c r="E2" s="2" t="s">
        <v>148</v>
      </c>
      <c r="F2" s="2" t="s">
        <v>148</v>
      </c>
      <c r="G2" s="2" t="s">
        <v>148</v>
      </c>
      <c r="H2" s="2" t="s">
        <v>148</v>
      </c>
    </row>
    <row r="4" ht="28" customHeight="1" spans="1:8">
      <c r="A4" s="4" t="s">
        <v>70</v>
      </c>
      <c r="B4" s="4" t="s">
        <v>149</v>
      </c>
      <c r="C4" s="4" t="s">
        <v>150</v>
      </c>
      <c r="D4" s="4" t="s">
        <v>151</v>
      </c>
      <c r="E4" s="4" t="s">
        <v>152</v>
      </c>
      <c r="F4" s="4" t="s">
        <v>153</v>
      </c>
      <c r="G4" s="4" t="s">
        <v>154</v>
      </c>
      <c r="H4" s="4" t="s">
        <v>155</v>
      </c>
    </row>
    <row r="5" ht="250" customHeight="1" spans="1:8">
      <c r="A5" s="8" t="s">
        <v>81</v>
      </c>
      <c r="B5" s="7" t="s">
        <v>83</v>
      </c>
      <c r="C5" s="7" t="s">
        <v>85</v>
      </c>
      <c r="D5" s="7" t="s">
        <v>156</v>
      </c>
      <c r="E5" s="7" t="s">
        <v>157</v>
      </c>
      <c r="F5" s="7" t="s">
        <v>158</v>
      </c>
      <c r="G5" s="7" t="s">
        <v>159</v>
      </c>
      <c r="H5" s="7" t="s">
        <v>160</v>
      </c>
    </row>
    <row r="6" ht="250" customHeight="1" spans="1:8">
      <c r="A6" s="9" t="s">
        <v>91</v>
      </c>
      <c r="B6" s="5" t="s">
        <v>92</v>
      </c>
      <c r="C6" s="5" t="s">
        <v>94</v>
      </c>
      <c r="D6" s="5" t="s">
        <v>161</v>
      </c>
      <c r="E6" s="5" t="s">
        <v>162</v>
      </c>
      <c r="F6" s="5" t="s">
        <v>163</v>
      </c>
      <c r="G6" s="5" t="s">
        <v>164</v>
      </c>
      <c r="H6" s="5" t="s">
        <v>165</v>
      </c>
    </row>
    <row r="7" ht="250" customHeight="1" spans="1:8">
      <c r="A7" s="8" t="s">
        <v>96</v>
      </c>
      <c r="B7" s="7" t="s">
        <v>97</v>
      </c>
      <c r="C7" s="7" t="s">
        <v>99</v>
      </c>
      <c r="D7" s="7" t="s">
        <v>166</v>
      </c>
      <c r="E7" s="7" t="s">
        <v>167</v>
      </c>
      <c r="F7" s="7" t="s">
        <v>168</v>
      </c>
      <c r="G7" s="7" t="s">
        <v>169</v>
      </c>
      <c r="H7" s="7" t="s">
        <v>170</v>
      </c>
    </row>
    <row r="8" ht="250" customHeight="1" spans="1:8">
      <c r="A8" s="9" t="s">
        <v>102</v>
      </c>
      <c r="B8" s="5" t="s">
        <v>104</v>
      </c>
      <c r="C8" s="5" t="s">
        <v>106</v>
      </c>
      <c r="D8" s="5" t="s">
        <v>171</v>
      </c>
      <c r="E8" s="5" t="s">
        <v>172</v>
      </c>
      <c r="F8" s="5" t="s">
        <v>173</v>
      </c>
      <c r="G8" s="5" t="s">
        <v>174</v>
      </c>
      <c r="H8" s="5" t="s">
        <v>175</v>
      </c>
    </row>
    <row r="9" ht="250" customHeight="1" spans="1:8">
      <c r="A9" s="8" t="s">
        <v>108</v>
      </c>
      <c r="B9" s="7" t="s">
        <v>109</v>
      </c>
      <c r="C9" s="7" t="s">
        <v>111</v>
      </c>
      <c r="D9" s="7" t="s">
        <v>176</v>
      </c>
      <c r="E9" s="7" t="s">
        <v>177</v>
      </c>
      <c r="F9" s="7" t="s">
        <v>178</v>
      </c>
      <c r="G9" s="7" t="s">
        <v>179</v>
      </c>
      <c r="H9" s="7" t="s">
        <v>180</v>
      </c>
    </row>
    <row r="10" ht="250" customHeight="1" spans="1:8">
      <c r="A10" s="9" t="s">
        <v>113</v>
      </c>
      <c r="B10" s="5" t="s">
        <v>114</v>
      </c>
      <c r="C10" s="5" t="s">
        <v>115</v>
      </c>
      <c r="D10" s="5" t="s">
        <v>181</v>
      </c>
      <c r="E10" s="5" t="s">
        <v>182</v>
      </c>
      <c r="F10" s="5" t="s">
        <v>183</v>
      </c>
      <c r="G10" s="5" t="s">
        <v>184</v>
      </c>
      <c r="H10" s="5" t="s">
        <v>185</v>
      </c>
    </row>
    <row r="11" ht="250" customHeight="1" spans="1:8">
      <c r="A11" s="8" t="s">
        <v>117</v>
      </c>
      <c r="B11" s="7" t="s">
        <v>119</v>
      </c>
      <c r="C11" s="7" t="s">
        <v>120</v>
      </c>
      <c r="D11" s="7" t="s">
        <v>186</v>
      </c>
      <c r="E11" s="7" t="s">
        <v>187</v>
      </c>
      <c r="F11" s="7" t="s">
        <v>188</v>
      </c>
      <c r="G11" s="7" t="s">
        <v>189</v>
      </c>
      <c r="H11" s="7" t="s">
        <v>190</v>
      </c>
    </row>
    <row r="12" ht="250" customHeight="1" spans="1:8">
      <c r="A12" s="9" t="s">
        <v>122</v>
      </c>
      <c r="B12" s="5" t="s">
        <v>123</v>
      </c>
      <c r="C12" s="5" t="s">
        <v>124</v>
      </c>
      <c r="D12" s="5" t="s">
        <v>191</v>
      </c>
      <c r="E12" s="5" t="s">
        <v>192</v>
      </c>
      <c r="F12" s="5" t="s">
        <v>193</v>
      </c>
      <c r="G12" s="5" t="s">
        <v>194</v>
      </c>
      <c r="H12" s="5" t="s">
        <v>195</v>
      </c>
    </row>
    <row r="13" ht="250" customHeight="1" spans="1:8">
      <c r="A13" s="8" t="s">
        <v>126</v>
      </c>
      <c r="B13" s="7" t="s">
        <v>127</v>
      </c>
      <c r="C13" s="7" t="s">
        <v>129</v>
      </c>
      <c r="D13" s="7" t="s">
        <v>196</v>
      </c>
      <c r="E13" s="7" t="s">
        <v>197</v>
      </c>
      <c r="F13" s="7" t="s">
        <v>198</v>
      </c>
      <c r="G13" s="7" t="s">
        <v>199</v>
      </c>
      <c r="H13" s="7" t="s">
        <v>200</v>
      </c>
    </row>
    <row r="14" ht="250" customHeight="1" spans="1:8">
      <c r="A14" s="9" t="s">
        <v>131</v>
      </c>
      <c r="B14" s="5" t="s">
        <v>133</v>
      </c>
      <c r="C14" s="5" t="s">
        <v>135</v>
      </c>
      <c r="D14" s="5" t="s">
        <v>201</v>
      </c>
      <c r="E14" s="5" t="s">
        <v>202</v>
      </c>
      <c r="F14" s="5" t="s">
        <v>203</v>
      </c>
      <c r="G14" s="5" t="s">
        <v>204</v>
      </c>
      <c r="H14" s="5" t="s">
        <v>205</v>
      </c>
    </row>
    <row r="15" ht="250" customHeight="1" spans="1:8">
      <c r="A15" s="8" t="s">
        <v>137</v>
      </c>
      <c r="B15" s="7" t="s">
        <v>138</v>
      </c>
      <c r="C15" s="7" t="s">
        <v>140</v>
      </c>
      <c r="D15" s="7" t="s">
        <v>206</v>
      </c>
      <c r="E15" s="7" t="s">
        <v>207</v>
      </c>
      <c r="F15" s="7" t="s">
        <v>208</v>
      </c>
      <c r="G15" s="7" t="s">
        <v>209</v>
      </c>
      <c r="H15" s="7" t="s">
        <v>210</v>
      </c>
    </row>
    <row r="16" ht="250" customHeight="1" spans="1:8">
      <c r="A16" s="9" t="s">
        <v>142</v>
      </c>
      <c r="B16" s="5" t="s">
        <v>143</v>
      </c>
      <c r="C16" s="5" t="s">
        <v>145</v>
      </c>
      <c r="D16" s="5" t="s">
        <v>211</v>
      </c>
      <c r="E16" s="5" t="s">
        <v>212</v>
      </c>
      <c r="F16" s="5" t="s">
        <v>213</v>
      </c>
      <c r="G16" s="5" t="s">
        <v>214</v>
      </c>
      <c r="H16" s="5" t="s">
        <v>215</v>
      </c>
    </row>
  </sheetData>
  <mergeCells count="2">
    <mergeCell ref="A1:H1"/>
    <mergeCell ref="A2:H2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"/>
  <sheetViews>
    <sheetView showGridLines="0" workbookViewId="0">
      <selection activeCell="A1" sqref="A1:G1"/>
    </sheetView>
  </sheetViews>
  <sheetFormatPr defaultColWidth="9" defaultRowHeight="16.8" outlineLevelCol="6"/>
  <cols>
    <col min="1" max="1" width="8" customWidth="1"/>
    <col min="2" max="2" width="14" customWidth="1"/>
    <col min="3" max="3" width="45" customWidth="1"/>
    <col min="4" max="4" width="24" customWidth="1"/>
    <col min="5" max="5" width="18" customWidth="1"/>
    <col min="6" max="6" width="13" customWidth="1"/>
    <col min="7" max="7" width="39" customWidth="1"/>
  </cols>
  <sheetData>
    <row r="1" ht="32" customHeight="1" spans="1:7">
      <c r="A1" s="1" t="s">
        <v>216</v>
      </c>
      <c r="B1" s="1" t="s">
        <v>216</v>
      </c>
      <c r="C1" s="1" t="s">
        <v>216</v>
      </c>
      <c r="D1" s="1" t="s">
        <v>216</v>
      </c>
      <c r="E1" s="1" t="s">
        <v>216</v>
      </c>
      <c r="F1" s="1" t="s">
        <v>216</v>
      </c>
      <c r="G1" s="1" t="s">
        <v>216</v>
      </c>
    </row>
    <row r="2" ht="26" customHeight="1" spans="1:7">
      <c r="A2" s="2" t="s">
        <v>217</v>
      </c>
      <c r="B2" s="2" t="s">
        <v>217</v>
      </c>
      <c r="C2" s="2" t="s">
        <v>217</v>
      </c>
      <c r="D2" s="2" t="s">
        <v>217</v>
      </c>
      <c r="E2" s="2" t="s">
        <v>217</v>
      </c>
      <c r="F2" s="2" t="s">
        <v>217</v>
      </c>
      <c r="G2" s="2" t="s">
        <v>217</v>
      </c>
    </row>
    <row r="4" ht="28" customHeight="1" spans="1:7">
      <c r="A4" s="4" t="s">
        <v>70</v>
      </c>
      <c r="B4" s="4" t="s">
        <v>218</v>
      </c>
      <c r="C4" s="4" t="s">
        <v>219</v>
      </c>
      <c r="D4" s="4" t="s">
        <v>220</v>
      </c>
      <c r="E4" s="4" t="s">
        <v>221</v>
      </c>
      <c r="F4" s="4" t="s">
        <v>78</v>
      </c>
      <c r="G4" s="4" t="s">
        <v>222</v>
      </c>
    </row>
    <row r="5" ht="45" customHeight="1" spans="1:7">
      <c r="A5" s="8" t="s">
        <v>81</v>
      </c>
      <c r="B5" s="8" t="s">
        <v>223</v>
      </c>
      <c r="C5" s="7" t="s">
        <v>224</v>
      </c>
      <c r="D5" s="7" t="s">
        <v>225</v>
      </c>
      <c r="E5" s="8" t="s">
        <v>226</v>
      </c>
      <c r="F5" s="8" t="s">
        <v>227</v>
      </c>
      <c r="G5" s="7" t="s">
        <v>228</v>
      </c>
    </row>
    <row r="6" ht="45" customHeight="1" spans="1:7">
      <c r="A6" s="9" t="s">
        <v>81</v>
      </c>
      <c r="B6" s="9" t="s">
        <v>229</v>
      </c>
      <c r="C6" s="5" t="s">
        <v>230</v>
      </c>
      <c r="D6" s="5" t="s">
        <v>231</v>
      </c>
      <c r="E6" s="9" t="s">
        <v>232</v>
      </c>
      <c r="F6" s="9" t="s">
        <v>233</v>
      </c>
      <c r="G6" s="5" t="s">
        <v>234</v>
      </c>
    </row>
    <row r="7" ht="45" customHeight="1" spans="1:7">
      <c r="A7" s="8" t="s">
        <v>81</v>
      </c>
      <c r="B7" s="8" t="s">
        <v>235</v>
      </c>
      <c r="C7" s="7" t="s">
        <v>236</v>
      </c>
      <c r="D7" s="7" t="s">
        <v>237</v>
      </c>
      <c r="E7" s="8" t="s">
        <v>238</v>
      </c>
      <c r="F7" s="8" t="s">
        <v>233</v>
      </c>
      <c r="G7" s="7" t="s">
        <v>239</v>
      </c>
    </row>
    <row r="8" ht="45" customHeight="1" spans="1:7">
      <c r="A8" s="9" t="s">
        <v>81</v>
      </c>
      <c r="B8" s="9" t="s">
        <v>240</v>
      </c>
      <c r="C8" s="5" t="s">
        <v>241</v>
      </c>
      <c r="D8" s="5" t="s">
        <v>237</v>
      </c>
      <c r="E8" s="9" t="s">
        <v>242</v>
      </c>
      <c r="F8" s="9" t="s">
        <v>243</v>
      </c>
      <c r="G8" s="5" t="s">
        <v>244</v>
      </c>
    </row>
    <row r="9" ht="45" customHeight="1" spans="1:7">
      <c r="A9" s="8" t="s">
        <v>81</v>
      </c>
      <c r="B9" s="8" t="s">
        <v>245</v>
      </c>
      <c r="C9" s="7" t="s">
        <v>246</v>
      </c>
      <c r="D9" s="7" t="s">
        <v>247</v>
      </c>
      <c r="E9" s="8" t="s">
        <v>248</v>
      </c>
      <c r="F9" s="8" t="s">
        <v>233</v>
      </c>
      <c r="G9" s="7" t="s">
        <v>249</v>
      </c>
    </row>
    <row r="10" ht="45" customHeight="1" spans="1:7">
      <c r="A10" s="9" t="s">
        <v>81</v>
      </c>
      <c r="B10" s="9" t="s">
        <v>250</v>
      </c>
      <c r="C10" s="5" t="s">
        <v>251</v>
      </c>
      <c r="D10" s="5" t="s">
        <v>252</v>
      </c>
      <c r="E10" s="9" t="s">
        <v>253</v>
      </c>
      <c r="F10" s="9" t="s">
        <v>243</v>
      </c>
      <c r="G10" s="5" t="s">
        <v>254</v>
      </c>
    </row>
    <row r="11" ht="45" customHeight="1" spans="1:7">
      <c r="A11" s="8" t="s">
        <v>81</v>
      </c>
      <c r="B11" s="8" t="s">
        <v>255</v>
      </c>
      <c r="C11" s="7" t="s">
        <v>256</v>
      </c>
      <c r="D11" s="7" t="s">
        <v>257</v>
      </c>
      <c r="E11" s="8" t="s">
        <v>226</v>
      </c>
      <c r="F11" s="8" t="s">
        <v>243</v>
      </c>
      <c r="G11" s="7" t="s">
        <v>258</v>
      </c>
    </row>
    <row r="12" ht="45" customHeight="1" spans="1:7">
      <c r="A12" s="9" t="s">
        <v>81</v>
      </c>
      <c r="B12" s="9" t="s">
        <v>259</v>
      </c>
      <c r="C12" s="5" t="s">
        <v>260</v>
      </c>
      <c r="D12" s="5" t="s">
        <v>231</v>
      </c>
      <c r="E12" s="9" t="s">
        <v>261</v>
      </c>
      <c r="F12" s="9" t="s">
        <v>243</v>
      </c>
      <c r="G12" s="5" t="s">
        <v>262</v>
      </c>
    </row>
    <row r="13" ht="45" customHeight="1" spans="1:7">
      <c r="A13" s="8" t="s">
        <v>91</v>
      </c>
      <c r="B13" s="8" t="s">
        <v>223</v>
      </c>
      <c r="C13" s="7" t="s">
        <v>263</v>
      </c>
      <c r="D13" s="7" t="s">
        <v>264</v>
      </c>
      <c r="E13" s="8" t="s">
        <v>265</v>
      </c>
      <c r="F13" s="8" t="s">
        <v>227</v>
      </c>
      <c r="G13" s="7" t="s">
        <v>266</v>
      </c>
    </row>
    <row r="14" ht="45" customHeight="1" spans="1:7">
      <c r="A14" s="9" t="s">
        <v>91</v>
      </c>
      <c r="B14" s="9" t="s">
        <v>267</v>
      </c>
      <c r="C14" s="5" t="s">
        <v>268</v>
      </c>
      <c r="D14" s="5" t="s">
        <v>269</v>
      </c>
      <c r="E14" s="9" t="s">
        <v>226</v>
      </c>
      <c r="F14" s="9" t="s">
        <v>233</v>
      </c>
      <c r="G14" s="5" t="s">
        <v>270</v>
      </c>
    </row>
    <row r="15" ht="45" customHeight="1" spans="1:7">
      <c r="A15" s="8" t="s">
        <v>91</v>
      </c>
      <c r="B15" s="8" t="s">
        <v>271</v>
      </c>
      <c r="C15" s="7" t="s">
        <v>272</v>
      </c>
      <c r="D15" s="7" t="s">
        <v>273</v>
      </c>
      <c r="E15" s="8" t="s">
        <v>274</v>
      </c>
      <c r="F15" s="8" t="s">
        <v>233</v>
      </c>
      <c r="G15" s="7" t="s">
        <v>275</v>
      </c>
    </row>
    <row r="16" ht="45" customHeight="1" spans="1:7">
      <c r="A16" s="9" t="s">
        <v>91</v>
      </c>
      <c r="B16" s="9" t="s">
        <v>276</v>
      </c>
      <c r="C16" s="5" t="s">
        <v>277</v>
      </c>
      <c r="D16" s="5" t="s">
        <v>278</v>
      </c>
      <c r="E16" s="9" t="s">
        <v>279</v>
      </c>
      <c r="F16" s="9" t="s">
        <v>243</v>
      </c>
      <c r="G16" s="5" t="s">
        <v>280</v>
      </c>
    </row>
    <row r="17" ht="45" customHeight="1" spans="1:7">
      <c r="A17" s="8" t="s">
        <v>91</v>
      </c>
      <c r="B17" s="8" t="s">
        <v>281</v>
      </c>
      <c r="C17" s="7" t="s">
        <v>282</v>
      </c>
      <c r="D17" s="7" t="s">
        <v>269</v>
      </c>
      <c r="E17" s="8" t="s">
        <v>283</v>
      </c>
      <c r="F17" s="8" t="s">
        <v>233</v>
      </c>
      <c r="G17" s="7" t="s">
        <v>284</v>
      </c>
    </row>
    <row r="18" ht="45" customHeight="1" spans="1:7">
      <c r="A18" s="9" t="s">
        <v>91</v>
      </c>
      <c r="B18" s="9" t="s">
        <v>285</v>
      </c>
      <c r="C18" s="5" t="s">
        <v>286</v>
      </c>
      <c r="D18" s="5" t="s">
        <v>252</v>
      </c>
      <c r="E18" s="9" t="s">
        <v>287</v>
      </c>
      <c r="F18" s="9" t="s">
        <v>233</v>
      </c>
      <c r="G18" s="5" t="s">
        <v>288</v>
      </c>
    </row>
    <row r="19" ht="45" customHeight="1" spans="1:7">
      <c r="A19" s="8" t="s">
        <v>91</v>
      </c>
      <c r="B19" s="8" t="s">
        <v>289</v>
      </c>
      <c r="C19" s="7" t="s">
        <v>290</v>
      </c>
      <c r="D19" s="7" t="s">
        <v>237</v>
      </c>
      <c r="E19" s="8" t="s">
        <v>291</v>
      </c>
      <c r="F19" s="8" t="s">
        <v>243</v>
      </c>
      <c r="G19" s="7" t="s">
        <v>292</v>
      </c>
    </row>
    <row r="20" ht="45" customHeight="1" spans="1:7">
      <c r="A20" s="9" t="s">
        <v>91</v>
      </c>
      <c r="B20" s="9" t="s">
        <v>293</v>
      </c>
      <c r="C20" s="5" t="s">
        <v>294</v>
      </c>
      <c r="D20" s="5" t="s">
        <v>295</v>
      </c>
      <c r="E20" s="9" t="s">
        <v>296</v>
      </c>
      <c r="F20" s="9" t="s">
        <v>243</v>
      </c>
      <c r="G20" s="5" t="s">
        <v>297</v>
      </c>
    </row>
    <row r="21" ht="45" customHeight="1" spans="1:7">
      <c r="A21" s="8" t="s">
        <v>96</v>
      </c>
      <c r="B21" s="8" t="s">
        <v>223</v>
      </c>
      <c r="C21" s="7" t="s">
        <v>298</v>
      </c>
      <c r="D21" s="7" t="s">
        <v>252</v>
      </c>
      <c r="E21" s="8" t="s">
        <v>299</v>
      </c>
      <c r="F21" s="8" t="s">
        <v>227</v>
      </c>
      <c r="G21" s="7" t="s">
        <v>300</v>
      </c>
    </row>
    <row r="22" ht="45" customHeight="1" spans="1:7">
      <c r="A22" s="9" t="s">
        <v>96</v>
      </c>
      <c r="B22" s="9" t="s">
        <v>267</v>
      </c>
      <c r="C22" s="5" t="s">
        <v>301</v>
      </c>
      <c r="D22" s="5" t="s">
        <v>302</v>
      </c>
      <c r="E22" s="9" t="s">
        <v>226</v>
      </c>
      <c r="F22" s="9" t="s">
        <v>233</v>
      </c>
      <c r="G22" s="5" t="s">
        <v>303</v>
      </c>
    </row>
    <row r="23" ht="45" customHeight="1" spans="1:7">
      <c r="A23" s="8" t="s">
        <v>96</v>
      </c>
      <c r="B23" s="8" t="s">
        <v>271</v>
      </c>
      <c r="C23" s="7" t="s">
        <v>304</v>
      </c>
      <c r="D23" s="7" t="s">
        <v>237</v>
      </c>
      <c r="E23" s="8" t="s">
        <v>232</v>
      </c>
      <c r="F23" s="8" t="s">
        <v>233</v>
      </c>
      <c r="G23" s="7" t="s">
        <v>305</v>
      </c>
    </row>
    <row r="24" ht="45" customHeight="1" spans="1:7">
      <c r="A24" s="9" t="s">
        <v>96</v>
      </c>
      <c r="B24" s="9" t="s">
        <v>306</v>
      </c>
      <c r="C24" s="5" t="s">
        <v>307</v>
      </c>
      <c r="D24" s="5" t="s">
        <v>257</v>
      </c>
      <c r="E24" s="9" t="s">
        <v>291</v>
      </c>
      <c r="F24" s="9" t="s">
        <v>233</v>
      </c>
      <c r="G24" s="5" t="s">
        <v>308</v>
      </c>
    </row>
    <row r="25" ht="45" customHeight="1" spans="1:7">
      <c r="A25" s="8" t="s">
        <v>96</v>
      </c>
      <c r="B25" s="8" t="s">
        <v>309</v>
      </c>
      <c r="C25" s="7" t="s">
        <v>310</v>
      </c>
      <c r="D25" s="7" t="s">
        <v>311</v>
      </c>
      <c r="E25" s="8" t="s">
        <v>312</v>
      </c>
      <c r="F25" s="8" t="s">
        <v>233</v>
      </c>
      <c r="G25" s="7" t="s">
        <v>313</v>
      </c>
    </row>
    <row r="26" ht="45" customHeight="1" spans="1:7">
      <c r="A26" s="9" t="s">
        <v>96</v>
      </c>
      <c r="B26" s="9" t="s">
        <v>285</v>
      </c>
      <c r="C26" s="5" t="s">
        <v>314</v>
      </c>
      <c r="D26" s="5" t="s">
        <v>252</v>
      </c>
      <c r="E26" s="9" t="s">
        <v>299</v>
      </c>
      <c r="F26" s="9" t="s">
        <v>233</v>
      </c>
      <c r="G26" s="5" t="s">
        <v>315</v>
      </c>
    </row>
    <row r="27" ht="45" customHeight="1" spans="1:7">
      <c r="A27" s="8" t="s">
        <v>96</v>
      </c>
      <c r="B27" s="8" t="s">
        <v>316</v>
      </c>
      <c r="C27" s="7" t="s">
        <v>317</v>
      </c>
      <c r="D27" s="7" t="s">
        <v>237</v>
      </c>
      <c r="E27" s="8" t="s">
        <v>238</v>
      </c>
      <c r="F27" s="8" t="s">
        <v>233</v>
      </c>
      <c r="G27" s="7" t="s">
        <v>318</v>
      </c>
    </row>
    <row r="28" ht="45" customHeight="1" spans="1:7">
      <c r="A28" s="9" t="s">
        <v>96</v>
      </c>
      <c r="B28" s="9" t="s">
        <v>259</v>
      </c>
      <c r="C28" s="5" t="s">
        <v>319</v>
      </c>
      <c r="D28" s="5" t="s">
        <v>252</v>
      </c>
      <c r="E28" s="9" t="s">
        <v>253</v>
      </c>
      <c r="F28" s="9" t="s">
        <v>243</v>
      </c>
      <c r="G28" s="5" t="s">
        <v>320</v>
      </c>
    </row>
    <row r="29" ht="45" customHeight="1" spans="1:7">
      <c r="A29" s="8" t="s">
        <v>102</v>
      </c>
      <c r="B29" s="8" t="s">
        <v>223</v>
      </c>
      <c r="C29" s="7" t="s">
        <v>321</v>
      </c>
      <c r="D29" s="7" t="s">
        <v>252</v>
      </c>
      <c r="E29" s="8" t="s">
        <v>322</v>
      </c>
      <c r="F29" s="8" t="s">
        <v>227</v>
      </c>
      <c r="G29" s="7" t="s">
        <v>323</v>
      </c>
    </row>
    <row r="30" ht="45" customHeight="1" spans="1:7">
      <c r="A30" s="9" t="s">
        <v>102</v>
      </c>
      <c r="B30" s="9" t="s">
        <v>267</v>
      </c>
      <c r="C30" s="5" t="s">
        <v>324</v>
      </c>
      <c r="D30" s="5" t="s">
        <v>295</v>
      </c>
      <c r="E30" s="9" t="s">
        <v>226</v>
      </c>
      <c r="F30" s="9" t="s">
        <v>233</v>
      </c>
      <c r="G30" s="5" t="s">
        <v>325</v>
      </c>
    </row>
    <row r="31" ht="45" customHeight="1" spans="1:7">
      <c r="A31" s="8" t="s">
        <v>102</v>
      </c>
      <c r="B31" s="8" t="s">
        <v>271</v>
      </c>
      <c r="C31" s="7" t="s">
        <v>326</v>
      </c>
      <c r="D31" s="7" t="s">
        <v>252</v>
      </c>
      <c r="E31" s="8" t="s">
        <v>279</v>
      </c>
      <c r="F31" s="8" t="s">
        <v>233</v>
      </c>
      <c r="G31" s="7" t="s">
        <v>327</v>
      </c>
    </row>
    <row r="32" ht="45" customHeight="1" spans="1:7">
      <c r="A32" s="9" t="s">
        <v>102</v>
      </c>
      <c r="B32" s="9" t="s">
        <v>306</v>
      </c>
      <c r="C32" s="5" t="s">
        <v>328</v>
      </c>
      <c r="D32" s="5" t="s">
        <v>257</v>
      </c>
      <c r="E32" s="9" t="s">
        <v>312</v>
      </c>
      <c r="F32" s="9" t="s">
        <v>233</v>
      </c>
      <c r="G32" s="5" t="s">
        <v>329</v>
      </c>
    </row>
    <row r="33" ht="45" customHeight="1" spans="1:7">
      <c r="A33" s="8" t="s">
        <v>102</v>
      </c>
      <c r="B33" s="8" t="s">
        <v>309</v>
      </c>
      <c r="C33" s="7" t="s">
        <v>330</v>
      </c>
      <c r="D33" s="7" t="s">
        <v>257</v>
      </c>
      <c r="E33" s="8" t="s">
        <v>226</v>
      </c>
      <c r="F33" s="8" t="s">
        <v>233</v>
      </c>
      <c r="G33" s="7" t="s">
        <v>331</v>
      </c>
    </row>
    <row r="34" ht="45" customHeight="1" spans="1:7">
      <c r="A34" s="9" t="s">
        <v>102</v>
      </c>
      <c r="B34" s="9" t="s">
        <v>285</v>
      </c>
      <c r="C34" s="5" t="s">
        <v>332</v>
      </c>
      <c r="D34" s="5" t="s">
        <v>252</v>
      </c>
      <c r="E34" s="9" t="s">
        <v>261</v>
      </c>
      <c r="F34" s="9" t="s">
        <v>233</v>
      </c>
      <c r="G34" s="5" t="s">
        <v>333</v>
      </c>
    </row>
    <row r="35" ht="45" customHeight="1" spans="1:7">
      <c r="A35" s="8" t="s">
        <v>102</v>
      </c>
      <c r="B35" s="8" t="s">
        <v>316</v>
      </c>
      <c r="C35" s="7" t="s">
        <v>334</v>
      </c>
      <c r="D35" s="7" t="s">
        <v>335</v>
      </c>
      <c r="E35" s="8" t="s">
        <v>312</v>
      </c>
      <c r="F35" s="8" t="s">
        <v>233</v>
      </c>
      <c r="G35" s="7" t="s">
        <v>336</v>
      </c>
    </row>
    <row r="36" ht="45" customHeight="1" spans="1:7">
      <c r="A36" s="9" t="s">
        <v>102</v>
      </c>
      <c r="B36" s="9" t="s">
        <v>337</v>
      </c>
      <c r="C36" s="5" t="s">
        <v>338</v>
      </c>
      <c r="D36" s="5" t="s">
        <v>252</v>
      </c>
      <c r="E36" s="9" t="s">
        <v>299</v>
      </c>
      <c r="F36" s="9" t="s">
        <v>243</v>
      </c>
      <c r="G36" s="5" t="s">
        <v>339</v>
      </c>
    </row>
    <row r="37" ht="45" customHeight="1" spans="1:7">
      <c r="A37" s="8" t="s">
        <v>108</v>
      </c>
      <c r="B37" s="8" t="s">
        <v>223</v>
      </c>
      <c r="C37" s="7" t="s">
        <v>340</v>
      </c>
      <c r="D37" s="7" t="s">
        <v>257</v>
      </c>
      <c r="E37" s="8" t="s">
        <v>226</v>
      </c>
      <c r="F37" s="8" t="s">
        <v>227</v>
      </c>
      <c r="G37" s="7" t="s">
        <v>341</v>
      </c>
    </row>
    <row r="38" ht="45" customHeight="1" spans="1:7">
      <c r="A38" s="9" t="s">
        <v>108</v>
      </c>
      <c r="B38" s="9" t="s">
        <v>267</v>
      </c>
      <c r="C38" s="5" t="s">
        <v>342</v>
      </c>
      <c r="D38" s="5" t="s">
        <v>343</v>
      </c>
      <c r="E38" s="9" t="s">
        <v>238</v>
      </c>
      <c r="F38" s="9" t="s">
        <v>233</v>
      </c>
      <c r="G38" s="5" t="s">
        <v>344</v>
      </c>
    </row>
    <row r="39" ht="45" customHeight="1" spans="1:7">
      <c r="A39" s="8" t="s">
        <v>108</v>
      </c>
      <c r="B39" s="8" t="s">
        <v>271</v>
      </c>
      <c r="C39" s="7" t="s">
        <v>345</v>
      </c>
      <c r="D39" s="7" t="s">
        <v>346</v>
      </c>
      <c r="E39" s="8" t="s">
        <v>296</v>
      </c>
      <c r="F39" s="8" t="s">
        <v>233</v>
      </c>
      <c r="G39" s="7" t="s">
        <v>347</v>
      </c>
    </row>
    <row r="40" ht="45" customHeight="1" spans="1:7">
      <c r="A40" s="9" t="s">
        <v>108</v>
      </c>
      <c r="B40" s="9" t="s">
        <v>276</v>
      </c>
      <c r="C40" s="5" t="s">
        <v>348</v>
      </c>
      <c r="D40" s="5" t="s">
        <v>231</v>
      </c>
      <c r="E40" s="9" t="s">
        <v>261</v>
      </c>
      <c r="F40" s="9" t="s">
        <v>243</v>
      </c>
      <c r="G40" s="5" t="s">
        <v>349</v>
      </c>
    </row>
    <row r="41" ht="45" customHeight="1" spans="1:7">
      <c r="A41" s="8" t="s">
        <v>108</v>
      </c>
      <c r="B41" s="8" t="s">
        <v>281</v>
      </c>
      <c r="C41" s="7" t="s">
        <v>350</v>
      </c>
      <c r="D41" s="7" t="s">
        <v>257</v>
      </c>
      <c r="E41" s="8" t="s">
        <v>312</v>
      </c>
      <c r="F41" s="8" t="s">
        <v>233</v>
      </c>
      <c r="G41" s="7" t="s">
        <v>351</v>
      </c>
    </row>
    <row r="42" ht="45" customHeight="1" spans="1:7">
      <c r="A42" s="9" t="s">
        <v>108</v>
      </c>
      <c r="B42" s="9" t="s">
        <v>285</v>
      </c>
      <c r="C42" s="5" t="s">
        <v>352</v>
      </c>
      <c r="D42" s="5" t="s">
        <v>231</v>
      </c>
      <c r="E42" s="9" t="s">
        <v>287</v>
      </c>
      <c r="F42" s="9" t="s">
        <v>233</v>
      </c>
      <c r="G42" s="5" t="s">
        <v>353</v>
      </c>
    </row>
    <row r="43" ht="45" customHeight="1" spans="1:7">
      <c r="A43" s="8" t="s">
        <v>108</v>
      </c>
      <c r="B43" s="8" t="s">
        <v>316</v>
      </c>
      <c r="C43" s="7" t="s">
        <v>354</v>
      </c>
      <c r="D43" s="7" t="s">
        <v>355</v>
      </c>
      <c r="E43" s="8" t="s">
        <v>253</v>
      </c>
      <c r="F43" s="8" t="s">
        <v>233</v>
      </c>
      <c r="G43" s="7" t="s">
        <v>356</v>
      </c>
    </row>
    <row r="44" ht="45" customHeight="1" spans="1:7">
      <c r="A44" s="9" t="s">
        <v>108</v>
      </c>
      <c r="B44" s="9" t="s">
        <v>259</v>
      </c>
      <c r="C44" s="5" t="s">
        <v>357</v>
      </c>
      <c r="D44" s="5" t="s">
        <v>358</v>
      </c>
      <c r="E44" s="9" t="s">
        <v>359</v>
      </c>
      <c r="F44" s="9" t="s">
        <v>243</v>
      </c>
      <c r="G44" s="5" t="s">
        <v>360</v>
      </c>
    </row>
    <row r="45" ht="45" customHeight="1" spans="1:7">
      <c r="A45" s="8" t="s">
        <v>113</v>
      </c>
      <c r="B45" s="8" t="s">
        <v>223</v>
      </c>
      <c r="C45" s="7" t="s">
        <v>361</v>
      </c>
      <c r="D45" s="7" t="s">
        <v>247</v>
      </c>
      <c r="E45" s="8" t="s">
        <v>279</v>
      </c>
      <c r="F45" s="8" t="s">
        <v>227</v>
      </c>
      <c r="G45" s="7" t="s">
        <v>362</v>
      </c>
    </row>
    <row r="46" ht="45" customHeight="1" spans="1:7">
      <c r="A46" s="9" t="s">
        <v>113</v>
      </c>
      <c r="B46" s="9" t="s">
        <v>267</v>
      </c>
      <c r="C46" s="5" t="s">
        <v>363</v>
      </c>
      <c r="D46" s="5" t="s">
        <v>364</v>
      </c>
      <c r="E46" s="9" t="s">
        <v>299</v>
      </c>
      <c r="F46" s="9" t="s">
        <v>233</v>
      </c>
      <c r="G46" s="5" t="s">
        <v>365</v>
      </c>
    </row>
    <row r="47" ht="45" customHeight="1" spans="1:7">
      <c r="A47" s="8" t="s">
        <v>113</v>
      </c>
      <c r="B47" s="8" t="s">
        <v>271</v>
      </c>
      <c r="C47" s="7" t="s">
        <v>366</v>
      </c>
      <c r="D47" s="7" t="s">
        <v>364</v>
      </c>
      <c r="E47" s="8" t="s">
        <v>226</v>
      </c>
      <c r="F47" s="8" t="s">
        <v>233</v>
      </c>
      <c r="G47" s="7" t="s">
        <v>367</v>
      </c>
    </row>
    <row r="48" ht="45" customHeight="1" spans="1:7">
      <c r="A48" s="9" t="s">
        <v>113</v>
      </c>
      <c r="B48" s="9" t="s">
        <v>306</v>
      </c>
      <c r="C48" s="5" t="s">
        <v>368</v>
      </c>
      <c r="D48" s="5" t="s">
        <v>257</v>
      </c>
      <c r="E48" s="9" t="s">
        <v>312</v>
      </c>
      <c r="F48" s="9" t="s">
        <v>233</v>
      </c>
      <c r="G48" s="5" t="s">
        <v>369</v>
      </c>
    </row>
    <row r="49" ht="45" customHeight="1" spans="1:7">
      <c r="A49" s="8" t="s">
        <v>113</v>
      </c>
      <c r="B49" s="8" t="s">
        <v>309</v>
      </c>
      <c r="C49" s="7" t="s">
        <v>370</v>
      </c>
      <c r="D49" s="7" t="s">
        <v>257</v>
      </c>
      <c r="E49" s="8" t="s">
        <v>312</v>
      </c>
      <c r="F49" s="8" t="s">
        <v>233</v>
      </c>
      <c r="G49" s="7" t="s">
        <v>371</v>
      </c>
    </row>
    <row r="50" ht="45" customHeight="1" spans="1:7">
      <c r="A50" s="9" t="s">
        <v>113</v>
      </c>
      <c r="B50" s="9" t="s">
        <v>285</v>
      </c>
      <c r="C50" s="5" t="s">
        <v>372</v>
      </c>
      <c r="D50" s="5" t="s">
        <v>373</v>
      </c>
      <c r="E50" s="9" t="s">
        <v>296</v>
      </c>
      <c r="F50" s="9" t="s">
        <v>233</v>
      </c>
      <c r="G50" s="5" t="s">
        <v>239</v>
      </c>
    </row>
    <row r="51" ht="45" customHeight="1" spans="1:7">
      <c r="A51" s="8" t="s">
        <v>113</v>
      </c>
      <c r="B51" s="8" t="s">
        <v>316</v>
      </c>
      <c r="C51" s="7" t="s">
        <v>374</v>
      </c>
      <c r="D51" s="7" t="s">
        <v>252</v>
      </c>
      <c r="E51" s="8" t="s">
        <v>299</v>
      </c>
      <c r="F51" s="8" t="s">
        <v>233</v>
      </c>
      <c r="G51" s="7" t="s">
        <v>375</v>
      </c>
    </row>
    <row r="52" ht="45" customHeight="1" spans="1:7">
      <c r="A52" s="9" t="s">
        <v>113</v>
      </c>
      <c r="B52" s="9" t="s">
        <v>259</v>
      </c>
      <c r="C52" s="5" t="s">
        <v>376</v>
      </c>
      <c r="D52" s="5" t="s">
        <v>377</v>
      </c>
      <c r="E52" s="9" t="s">
        <v>378</v>
      </c>
      <c r="F52" s="9" t="s">
        <v>243</v>
      </c>
      <c r="G52" s="5" t="s">
        <v>379</v>
      </c>
    </row>
    <row r="53" ht="45" customHeight="1" spans="1:7">
      <c r="A53" s="8" t="s">
        <v>117</v>
      </c>
      <c r="B53" s="8" t="s">
        <v>223</v>
      </c>
      <c r="C53" s="7" t="s">
        <v>380</v>
      </c>
      <c r="D53" s="7" t="s">
        <v>381</v>
      </c>
      <c r="E53" s="8" t="s">
        <v>312</v>
      </c>
      <c r="F53" s="8" t="s">
        <v>227</v>
      </c>
      <c r="G53" s="7" t="s">
        <v>382</v>
      </c>
    </row>
    <row r="54" ht="45" customHeight="1" spans="1:7">
      <c r="A54" s="9" t="s">
        <v>117</v>
      </c>
      <c r="B54" s="9" t="s">
        <v>267</v>
      </c>
      <c r="C54" s="5" t="s">
        <v>383</v>
      </c>
      <c r="D54" s="5" t="s">
        <v>257</v>
      </c>
      <c r="E54" s="9" t="s">
        <v>279</v>
      </c>
      <c r="F54" s="9" t="s">
        <v>233</v>
      </c>
      <c r="G54" s="5" t="s">
        <v>384</v>
      </c>
    </row>
    <row r="55" ht="45" customHeight="1" spans="1:7">
      <c r="A55" s="8" t="s">
        <v>117</v>
      </c>
      <c r="B55" s="8" t="s">
        <v>271</v>
      </c>
      <c r="C55" s="7" t="s">
        <v>385</v>
      </c>
      <c r="D55" s="7" t="s">
        <v>386</v>
      </c>
      <c r="E55" s="8" t="s">
        <v>312</v>
      </c>
      <c r="F55" s="8" t="s">
        <v>233</v>
      </c>
      <c r="G55" s="7" t="s">
        <v>387</v>
      </c>
    </row>
    <row r="56" ht="45" customHeight="1" spans="1:7">
      <c r="A56" s="9" t="s">
        <v>117</v>
      </c>
      <c r="B56" s="9" t="s">
        <v>306</v>
      </c>
      <c r="C56" s="5" t="s">
        <v>388</v>
      </c>
      <c r="D56" s="5" t="s">
        <v>389</v>
      </c>
      <c r="E56" s="9" t="s">
        <v>226</v>
      </c>
      <c r="F56" s="9" t="s">
        <v>233</v>
      </c>
      <c r="G56" s="5" t="s">
        <v>390</v>
      </c>
    </row>
    <row r="57" ht="45" customHeight="1" spans="1:7">
      <c r="A57" s="8" t="s">
        <v>117</v>
      </c>
      <c r="B57" s="8" t="s">
        <v>309</v>
      </c>
      <c r="C57" s="7" t="s">
        <v>391</v>
      </c>
      <c r="D57" s="7" t="s">
        <v>389</v>
      </c>
      <c r="E57" s="8" t="s">
        <v>312</v>
      </c>
      <c r="F57" s="8" t="s">
        <v>233</v>
      </c>
      <c r="G57" s="7" t="s">
        <v>392</v>
      </c>
    </row>
    <row r="58" ht="45" customHeight="1" spans="1:7">
      <c r="A58" s="9" t="s">
        <v>117</v>
      </c>
      <c r="B58" s="9" t="s">
        <v>285</v>
      </c>
      <c r="C58" s="5" t="s">
        <v>393</v>
      </c>
      <c r="D58" s="5" t="s">
        <v>257</v>
      </c>
      <c r="E58" s="9" t="s">
        <v>394</v>
      </c>
      <c r="F58" s="9" t="s">
        <v>233</v>
      </c>
      <c r="G58" s="5" t="s">
        <v>395</v>
      </c>
    </row>
    <row r="59" ht="45" customHeight="1" spans="1:7">
      <c r="A59" s="8" t="s">
        <v>117</v>
      </c>
      <c r="B59" s="8" t="s">
        <v>316</v>
      </c>
      <c r="C59" s="7" t="s">
        <v>396</v>
      </c>
      <c r="D59" s="7" t="s">
        <v>257</v>
      </c>
      <c r="E59" s="8" t="s">
        <v>312</v>
      </c>
      <c r="F59" s="8" t="s">
        <v>233</v>
      </c>
      <c r="G59" s="7" t="s">
        <v>397</v>
      </c>
    </row>
    <row r="60" ht="45" customHeight="1" spans="1:7">
      <c r="A60" s="9" t="s">
        <v>117</v>
      </c>
      <c r="B60" s="9" t="s">
        <v>337</v>
      </c>
      <c r="C60" s="5" t="s">
        <v>398</v>
      </c>
      <c r="D60" s="5" t="s">
        <v>252</v>
      </c>
      <c r="E60" s="9" t="s">
        <v>253</v>
      </c>
      <c r="F60" s="9" t="s">
        <v>243</v>
      </c>
      <c r="G60" s="5" t="s">
        <v>399</v>
      </c>
    </row>
    <row r="61" ht="45" customHeight="1" spans="1:7">
      <c r="A61" s="8" t="s">
        <v>122</v>
      </c>
      <c r="B61" s="8" t="s">
        <v>223</v>
      </c>
      <c r="C61" s="7" t="s">
        <v>400</v>
      </c>
      <c r="D61" s="7" t="s">
        <v>401</v>
      </c>
      <c r="E61" s="8" t="s">
        <v>312</v>
      </c>
      <c r="F61" s="8" t="s">
        <v>227</v>
      </c>
      <c r="G61" s="7" t="s">
        <v>402</v>
      </c>
    </row>
    <row r="62" ht="45" customHeight="1" spans="1:7">
      <c r="A62" s="9" t="s">
        <v>122</v>
      </c>
      <c r="B62" s="9" t="s">
        <v>267</v>
      </c>
      <c r="C62" s="5" t="s">
        <v>403</v>
      </c>
      <c r="D62" s="5" t="s">
        <v>252</v>
      </c>
      <c r="E62" s="9" t="s">
        <v>299</v>
      </c>
      <c r="F62" s="9" t="s">
        <v>233</v>
      </c>
      <c r="G62" s="5" t="s">
        <v>404</v>
      </c>
    </row>
    <row r="63" ht="45" customHeight="1" spans="1:7">
      <c r="A63" s="8" t="s">
        <v>122</v>
      </c>
      <c r="B63" s="8" t="s">
        <v>271</v>
      </c>
      <c r="C63" s="7" t="s">
        <v>405</v>
      </c>
      <c r="D63" s="7" t="s">
        <v>406</v>
      </c>
      <c r="E63" s="8" t="s">
        <v>226</v>
      </c>
      <c r="F63" s="8" t="s">
        <v>233</v>
      </c>
      <c r="G63" s="7" t="s">
        <v>407</v>
      </c>
    </row>
    <row r="64" ht="45" customHeight="1" spans="1:7">
      <c r="A64" s="9" t="s">
        <v>122</v>
      </c>
      <c r="B64" s="9" t="s">
        <v>306</v>
      </c>
      <c r="C64" s="5" t="s">
        <v>408</v>
      </c>
      <c r="D64" s="5" t="s">
        <v>237</v>
      </c>
      <c r="E64" s="9" t="s">
        <v>232</v>
      </c>
      <c r="F64" s="9" t="s">
        <v>233</v>
      </c>
      <c r="G64" s="5" t="s">
        <v>409</v>
      </c>
    </row>
    <row r="65" ht="45" customHeight="1" spans="1:7">
      <c r="A65" s="8" t="s">
        <v>122</v>
      </c>
      <c r="B65" s="8" t="s">
        <v>309</v>
      </c>
      <c r="C65" s="7" t="s">
        <v>410</v>
      </c>
      <c r="D65" s="7" t="s">
        <v>252</v>
      </c>
      <c r="E65" s="8" t="s">
        <v>291</v>
      </c>
      <c r="F65" s="8" t="s">
        <v>233</v>
      </c>
      <c r="G65" s="7" t="s">
        <v>411</v>
      </c>
    </row>
    <row r="66" ht="45" customHeight="1" spans="1:7">
      <c r="A66" s="9" t="s">
        <v>122</v>
      </c>
      <c r="B66" s="9" t="s">
        <v>285</v>
      </c>
      <c r="C66" s="5" t="s">
        <v>412</v>
      </c>
      <c r="D66" s="5" t="s">
        <v>252</v>
      </c>
      <c r="E66" s="9" t="s">
        <v>312</v>
      </c>
      <c r="F66" s="9" t="s">
        <v>233</v>
      </c>
      <c r="G66" s="5" t="s">
        <v>413</v>
      </c>
    </row>
    <row r="67" ht="45" customHeight="1" spans="1:7">
      <c r="A67" s="8" t="s">
        <v>122</v>
      </c>
      <c r="B67" s="8" t="s">
        <v>316</v>
      </c>
      <c r="C67" s="7" t="s">
        <v>414</v>
      </c>
      <c r="D67" s="7" t="s">
        <v>252</v>
      </c>
      <c r="E67" s="8" t="s">
        <v>299</v>
      </c>
      <c r="F67" s="8" t="s">
        <v>233</v>
      </c>
      <c r="G67" s="7" t="s">
        <v>415</v>
      </c>
    </row>
    <row r="68" ht="45" customHeight="1" spans="1:7">
      <c r="A68" s="9" t="s">
        <v>122</v>
      </c>
      <c r="B68" s="9" t="s">
        <v>259</v>
      </c>
      <c r="C68" s="5" t="s">
        <v>416</v>
      </c>
      <c r="D68" s="5" t="s">
        <v>417</v>
      </c>
      <c r="E68" s="9" t="s">
        <v>253</v>
      </c>
      <c r="F68" s="9" t="s">
        <v>243</v>
      </c>
      <c r="G68" s="5" t="s">
        <v>418</v>
      </c>
    </row>
    <row r="69" ht="45" customHeight="1" spans="1:7">
      <c r="A69" s="8" t="s">
        <v>126</v>
      </c>
      <c r="B69" s="8" t="s">
        <v>223</v>
      </c>
      <c r="C69" s="7" t="s">
        <v>419</v>
      </c>
      <c r="D69" s="7" t="s">
        <v>257</v>
      </c>
      <c r="E69" s="8" t="s">
        <v>420</v>
      </c>
      <c r="F69" s="8" t="s">
        <v>227</v>
      </c>
      <c r="G69" s="7" t="s">
        <v>421</v>
      </c>
    </row>
    <row r="70" ht="45" customHeight="1" spans="1:7">
      <c r="A70" s="9" t="s">
        <v>126</v>
      </c>
      <c r="B70" s="9" t="s">
        <v>267</v>
      </c>
      <c r="C70" s="5" t="s">
        <v>422</v>
      </c>
      <c r="D70" s="5" t="s">
        <v>389</v>
      </c>
      <c r="E70" s="9" t="s">
        <v>279</v>
      </c>
      <c r="F70" s="9" t="s">
        <v>233</v>
      </c>
      <c r="G70" s="5" t="s">
        <v>423</v>
      </c>
    </row>
    <row r="71" ht="45" customHeight="1" spans="1:7">
      <c r="A71" s="8" t="s">
        <v>126</v>
      </c>
      <c r="B71" s="8" t="s">
        <v>271</v>
      </c>
      <c r="C71" s="7" t="s">
        <v>424</v>
      </c>
      <c r="D71" s="7" t="s">
        <v>389</v>
      </c>
      <c r="E71" s="8" t="s">
        <v>226</v>
      </c>
      <c r="F71" s="8" t="s">
        <v>233</v>
      </c>
      <c r="G71" s="7" t="s">
        <v>425</v>
      </c>
    </row>
    <row r="72" ht="45" customHeight="1" spans="1:7">
      <c r="A72" s="9" t="s">
        <v>126</v>
      </c>
      <c r="B72" s="9" t="s">
        <v>306</v>
      </c>
      <c r="C72" s="5" t="s">
        <v>426</v>
      </c>
      <c r="D72" s="5" t="s">
        <v>427</v>
      </c>
      <c r="E72" s="9" t="s">
        <v>312</v>
      </c>
      <c r="F72" s="9" t="s">
        <v>233</v>
      </c>
      <c r="G72" s="5" t="s">
        <v>428</v>
      </c>
    </row>
    <row r="73" ht="45" customHeight="1" spans="1:7">
      <c r="A73" s="8" t="s">
        <v>126</v>
      </c>
      <c r="B73" s="8" t="s">
        <v>309</v>
      </c>
      <c r="C73" s="7" t="s">
        <v>429</v>
      </c>
      <c r="D73" s="7" t="s">
        <v>257</v>
      </c>
      <c r="E73" s="8" t="s">
        <v>394</v>
      </c>
      <c r="F73" s="8" t="s">
        <v>233</v>
      </c>
      <c r="G73" s="7" t="s">
        <v>430</v>
      </c>
    </row>
    <row r="74" ht="45" customHeight="1" spans="1:7">
      <c r="A74" s="9" t="s">
        <v>126</v>
      </c>
      <c r="B74" s="9" t="s">
        <v>285</v>
      </c>
      <c r="C74" s="5" t="s">
        <v>431</v>
      </c>
      <c r="D74" s="5" t="s">
        <v>389</v>
      </c>
      <c r="E74" s="9" t="s">
        <v>312</v>
      </c>
      <c r="F74" s="9" t="s">
        <v>233</v>
      </c>
      <c r="G74" s="5" t="s">
        <v>432</v>
      </c>
    </row>
    <row r="75" ht="45" customHeight="1" spans="1:7">
      <c r="A75" s="8" t="s">
        <v>126</v>
      </c>
      <c r="B75" s="8" t="s">
        <v>316</v>
      </c>
      <c r="C75" s="7" t="s">
        <v>433</v>
      </c>
      <c r="D75" s="7" t="s">
        <v>257</v>
      </c>
      <c r="E75" s="8" t="s">
        <v>312</v>
      </c>
      <c r="F75" s="8" t="s">
        <v>233</v>
      </c>
      <c r="G75" s="7" t="s">
        <v>434</v>
      </c>
    </row>
    <row r="76" ht="45" customHeight="1" spans="1:7">
      <c r="A76" s="9" t="s">
        <v>126</v>
      </c>
      <c r="B76" s="9" t="s">
        <v>259</v>
      </c>
      <c r="C76" s="5" t="s">
        <v>435</v>
      </c>
      <c r="D76" s="5" t="s">
        <v>252</v>
      </c>
      <c r="E76" s="9" t="s">
        <v>299</v>
      </c>
      <c r="F76" s="9" t="s">
        <v>243</v>
      </c>
      <c r="G76" s="5" t="s">
        <v>436</v>
      </c>
    </row>
    <row r="77" ht="45" customHeight="1" spans="1:7">
      <c r="A77" s="8" t="s">
        <v>131</v>
      </c>
      <c r="B77" s="8" t="s">
        <v>223</v>
      </c>
      <c r="C77" s="7" t="s">
        <v>437</v>
      </c>
      <c r="D77" s="7" t="s">
        <v>252</v>
      </c>
      <c r="E77" s="8" t="s">
        <v>261</v>
      </c>
      <c r="F77" s="8" t="s">
        <v>227</v>
      </c>
      <c r="G77" s="7" t="s">
        <v>438</v>
      </c>
    </row>
    <row r="78" ht="45" customHeight="1" spans="1:7">
      <c r="A78" s="9" t="s">
        <v>131</v>
      </c>
      <c r="B78" s="9" t="s">
        <v>267</v>
      </c>
      <c r="C78" s="5" t="s">
        <v>439</v>
      </c>
      <c r="D78" s="5" t="s">
        <v>377</v>
      </c>
      <c r="E78" s="9" t="s">
        <v>312</v>
      </c>
      <c r="F78" s="9" t="s">
        <v>233</v>
      </c>
      <c r="G78" s="5" t="s">
        <v>440</v>
      </c>
    </row>
    <row r="79" ht="45" customHeight="1" spans="1:7">
      <c r="A79" s="8" t="s">
        <v>131</v>
      </c>
      <c r="B79" s="8" t="s">
        <v>271</v>
      </c>
      <c r="C79" s="7" t="s">
        <v>441</v>
      </c>
      <c r="D79" s="7" t="s">
        <v>442</v>
      </c>
      <c r="E79" s="8" t="s">
        <v>287</v>
      </c>
      <c r="F79" s="8" t="s">
        <v>233</v>
      </c>
      <c r="G79" s="7" t="s">
        <v>443</v>
      </c>
    </row>
    <row r="80" ht="45" customHeight="1" spans="1:7">
      <c r="A80" s="9" t="s">
        <v>131</v>
      </c>
      <c r="B80" s="9" t="s">
        <v>306</v>
      </c>
      <c r="C80" s="5" t="s">
        <v>444</v>
      </c>
      <c r="D80" s="5" t="s">
        <v>445</v>
      </c>
      <c r="E80" s="9" t="s">
        <v>299</v>
      </c>
      <c r="F80" s="9" t="s">
        <v>243</v>
      </c>
      <c r="G80" s="5" t="s">
        <v>446</v>
      </c>
    </row>
    <row r="81" ht="45" customHeight="1" spans="1:7">
      <c r="A81" s="8" t="s">
        <v>131</v>
      </c>
      <c r="B81" s="8" t="s">
        <v>309</v>
      </c>
      <c r="C81" s="7" t="s">
        <v>447</v>
      </c>
      <c r="D81" s="7" t="s">
        <v>448</v>
      </c>
      <c r="E81" s="8" t="s">
        <v>261</v>
      </c>
      <c r="F81" s="8" t="s">
        <v>233</v>
      </c>
      <c r="G81" s="7" t="s">
        <v>449</v>
      </c>
    </row>
    <row r="82" ht="45" customHeight="1" spans="1:7">
      <c r="A82" s="9" t="s">
        <v>131</v>
      </c>
      <c r="B82" s="9" t="s">
        <v>285</v>
      </c>
      <c r="C82" s="5" t="s">
        <v>450</v>
      </c>
      <c r="D82" s="5" t="s">
        <v>343</v>
      </c>
      <c r="E82" s="9" t="s">
        <v>451</v>
      </c>
      <c r="F82" s="9" t="s">
        <v>233</v>
      </c>
      <c r="G82" s="5" t="s">
        <v>452</v>
      </c>
    </row>
    <row r="83" ht="45" customHeight="1" spans="1:7">
      <c r="A83" s="8" t="s">
        <v>131</v>
      </c>
      <c r="B83" s="8" t="s">
        <v>316</v>
      </c>
      <c r="C83" s="7" t="s">
        <v>453</v>
      </c>
      <c r="D83" s="7" t="s">
        <v>445</v>
      </c>
      <c r="E83" s="8" t="s">
        <v>299</v>
      </c>
      <c r="F83" s="8" t="s">
        <v>233</v>
      </c>
      <c r="G83" s="7" t="s">
        <v>315</v>
      </c>
    </row>
    <row r="84" ht="45" customHeight="1" spans="1:7">
      <c r="A84" s="9" t="s">
        <v>131</v>
      </c>
      <c r="B84" s="9" t="s">
        <v>259</v>
      </c>
      <c r="C84" s="5" t="s">
        <v>454</v>
      </c>
      <c r="D84" s="5" t="s">
        <v>445</v>
      </c>
      <c r="E84" s="9" t="s">
        <v>261</v>
      </c>
      <c r="F84" s="9" t="s">
        <v>243</v>
      </c>
      <c r="G84" s="5" t="s">
        <v>455</v>
      </c>
    </row>
    <row r="85" ht="45" customHeight="1" spans="1:7">
      <c r="A85" s="8" t="s">
        <v>137</v>
      </c>
      <c r="B85" s="8" t="s">
        <v>223</v>
      </c>
      <c r="C85" s="7" t="s">
        <v>456</v>
      </c>
      <c r="D85" s="7" t="s">
        <v>237</v>
      </c>
      <c r="E85" s="8" t="s">
        <v>287</v>
      </c>
      <c r="F85" s="8" t="s">
        <v>227</v>
      </c>
      <c r="G85" s="7" t="s">
        <v>457</v>
      </c>
    </row>
    <row r="86" ht="45" customHeight="1" spans="1:7">
      <c r="A86" s="9" t="s">
        <v>137</v>
      </c>
      <c r="B86" s="9" t="s">
        <v>267</v>
      </c>
      <c r="C86" s="5" t="s">
        <v>458</v>
      </c>
      <c r="D86" s="5" t="s">
        <v>459</v>
      </c>
      <c r="E86" s="9" t="s">
        <v>226</v>
      </c>
      <c r="F86" s="9" t="s">
        <v>233</v>
      </c>
      <c r="G86" s="5" t="s">
        <v>292</v>
      </c>
    </row>
    <row r="87" ht="45" customHeight="1" spans="1:7">
      <c r="A87" s="8" t="s">
        <v>137</v>
      </c>
      <c r="B87" s="8" t="s">
        <v>271</v>
      </c>
      <c r="C87" s="7" t="s">
        <v>460</v>
      </c>
      <c r="D87" s="7" t="s">
        <v>237</v>
      </c>
      <c r="E87" s="8" t="s">
        <v>394</v>
      </c>
      <c r="F87" s="8" t="s">
        <v>233</v>
      </c>
      <c r="G87" s="7" t="s">
        <v>461</v>
      </c>
    </row>
    <row r="88" ht="45" customHeight="1" spans="1:7">
      <c r="A88" s="9" t="s">
        <v>137</v>
      </c>
      <c r="B88" s="9" t="s">
        <v>306</v>
      </c>
      <c r="C88" s="5" t="s">
        <v>462</v>
      </c>
      <c r="D88" s="5" t="s">
        <v>257</v>
      </c>
      <c r="E88" s="9" t="s">
        <v>312</v>
      </c>
      <c r="F88" s="9" t="s">
        <v>233</v>
      </c>
      <c r="G88" s="5" t="s">
        <v>463</v>
      </c>
    </row>
    <row r="89" ht="45" customHeight="1" spans="1:7">
      <c r="A89" s="8" t="s">
        <v>137</v>
      </c>
      <c r="B89" s="8" t="s">
        <v>309</v>
      </c>
      <c r="C89" s="7" t="s">
        <v>464</v>
      </c>
      <c r="D89" s="7" t="s">
        <v>389</v>
      </c>
      <c r="E89" s="8" t="s">
        <v>226</v>
      </c>
      <c r="F89" s="8" t="s">
        <v>233</v>
      </c>
      <c r="G89" s="7" t="s">
        <v>465</v>
      </c>
    </row>
    <row r="90" ht="45" customHeight="1" spans="1:7">
      <c r="A90" s="9" t="s">
        <v>137</v>
      </c>
      <c r="B90" s="9" t="s">
        <v>285</v>
      </c>
      <c r="C90" s="5" t="s">
        <v>466</v>
      </c>
      <c r="D90" s="5" t="s">
        <v>373</v>
      </c>
      <c r="E90" s="9" t="s">
        <v>296</v>
      </c>
      <c r="F90" s="9" t="s">
        <v>233</v>
      </c>
      <c r="G90" s="5" t="s">
        <v>467</v>
      </c>
    </row>
    <row r="91" ht="45" customHeight="1" spans="1:7">
      <c r="A91" s="8" t="s">
        <v>137</v>
      </c>
      <c r="B91" s="8" t="s">
        <v>316</v>
      </c>
      <c r="C91" s="7" t="s">
        <v>468</v>
      </c>
      <c r="D91" s="7" t="s">
        <v>252</v>
      </c>
      <c r="E91" s="8" t="s">
        <v>299</v>
      </c>
      <c r="F91" s="8" t="s">
        <v>233</v>
      </c>
      <c r="G91" s="7" t="s">
        <v>469</v>
      </c>
    </row>
    <row r="92" ht="45" customHeight="1" spans="1:7">
      <c r="A92" s="9" t="s">
        <v>137</v>
      </c>
      <c r="B92" s="9" t="s">
        <v>259</v>
      </c>
      <c r="C92" s="5" t="s">
        <v>470</v>
      </c>
      <c r="D92" s="5" t="s">
        <v>471</v>
      </c>
      <c r="E92" s="9" t="s">
        <v>253</v>
      </c>
      <c r="F92" s="9" t="s">
        <v>243</v>
      </c>
      <c r="G92" s="5" t="s">
        <v>472</v>
      </c>
    </row>
    <row r="93" ht="45" customHeight="1" spans="1:7">
      <c r="A93" s="8" t="s">
        <v>142</v>
      </c>
      <c r="B93" s="8" t="s">
        <v>223</v>
      </c>
      <c r="C93" s="7" t="s">
        <v>473</v>
      </c>
      <c r="D93" s="7" t="s">
        <v>257</v>
      </c>
      <c r="E93" s="8" t="s">
        <v>312</v>
      </c>
      <c r="F93" s="8" t="s">
        <v>227</v>
      </c>
      <c r="G93" s="7" t="s">
        <v>474</v>
      </c>
    </row>
    <row r="94" ht="45" customHeight="1" spans="1:7">
      <c r="A94" s="9" t="s">
        <v>142</v>
      </c>
      <c r="B94" s="9" t="s">
        <v>267</v>
      </c>
      <c r="C94" s="5" t="s">
        <v>475</v>
      </c>
      <c r="D94" s="5" t="s">
        <v>427</v>
      </c>
      <c r="E94" s="9" t="s">
        <v>312</v>
      </c>
      <c r="F94" s="9" t="s">
        <v>233</v>
      </c>
      <c r="G94" s="5" t="s">
        <v>476</v>
      </c>
    </row>
    <row r="95" ht="45" customHeight="1" spans="1:7">
      <c r="A95" s="8" t="s">
        <v>142</v>
      </c>
      <c r="B95" s="8" t="s">
        <v>271</v>
      </c>
      <c r="C95" s="7" t="s">
        <v>477</v>
      </c>
      <c r="D95" s="7" t="s">
        <v>252</v>
      </c>
      <c r="E95" s="8" t="s">
        <v>299</v>
      </c>
      <c r="F95" s="8" t="s">
        <v>233</v>
      </c>
      <c r="G95" s="7" t="s">
        <v>478</v>
      </c>
    </row>
    <row r="96" ht="45" customHeight="1" spans="1:7">
      <c r="A96" s="9" t="s">
        <v>142</v>
      </c>
      <c r="B96" s="9" t="s">
        <v>306</v>
      </c>
      <c r="C96" s="5" t="s">
        <v>479</v>
      </c>
      <c r="D96" s="5" t="s">
        <v>252</v>
      </c>
      <c r="E96" s="9" t="s">
        <v>312</v>
      </c>
      <c r="F96" s="9" t="s">
        <v>233</v>
      </c>
      <c r="G96" s="5" t="s">
        <v>480</v>
      </c>
    </row>
    <row r="97" ht="45" customHeight="1" spans="1:7">
      <c r="A97" s="8" t="s">
        <v>142</v>
      </c>
      <c r="B97" s="8" t="s">
        <v>309</v>
      </c>
      <c r="C97" s="7" t="s">
        <v>481</v>
      </c>
      <c r="D97" s="7" t="s">
        <v>445</v>
      </c>
      <c r="E97" s="8" t="s">
        <v>261</v>
      </c>
      <c r="F97" s="8" t="s">
        <v>233</v>
      </c>
      <c r="G97" s="7" t="s">
        <v>482</v>
      </c>
    </row>
    <row r="98" ht="45" customHeight="1" spans="1:7">
      <c r="A98" s="9" t="s">
        <v>142</v>
      </c>
      <c r="B98" s="9" t="s">
        <v>285</v>
      </c>
      <c r="C98" s="5" t="s">
        <v>483</v>
      </c>
      <c r="D98" s="5" t="s">
        <v>257</v>
      </c>
      <c r="E98" s="9" t="s">
        <v>226</v>
      </c>
      <c r="F98" s="9" t="s">
        <v>233</v>
      </c>
      <c r="G98" s="5" t="s">
        <v>484</v>
      </c>
    </row>
    <row r="99" ht="45" customHeight="1" spans="1:7">
      <c r="A99" s="8" t="s">
        <v>142</v>
      </c>
      <c r="B99" s="8" t="s">
        <v>316</v>
      </c>
      <c r="C99" s="7" t="s">
        <v>485</v>
      </c>
      <c r="D99" s="7" t="s">
        <v>257</v>
      </c>
      <c r="E99" s="8" t="s">
        <v>312</v>
      </c>
      <c r="F99" s="8" t="s">
        <v>233</v>
      </c>
      <c r="G99" s="7" t="s">
        <v>486</v>
      </c>
    </row>
    <row r="100" ht="45" customHeight="1" spans="1:7">
      <c r="A100" s="9" t="s">
        <v>142</v>
      </c>
      <c r="B100" s="9" t="s">
        <v>337</v>
      </c>
      <c r="C100" s="5" t="s">
        <v>487</v>
      </c>
      <c r="D100" s="5" t="s">
        <v>252</v>
      </c>
      <c r="E100" s="9" t="s">
        <v>312</v>
      </c>
      <c r="F100" s="9" t="s">
        <v>243</v>
      </c>
      <c r="G100" s="5" t="s">
        <v>488</v>
      </c>
    </row>
  </sheetData>
  <mergeCells count="2">
    <mergeCell ref="A1:G1"/>
    <mergeCell ref="A2:G2"/>
  </mergeCell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showGridLines="0" workbookViewId="0">
      <selection activeCell="A1" sqref="A1:G1"/>
    </sheetView>
  </sheetViews>
  <sheetFormatPr defaultColWidth="9" defaultRowHeight="16.8" outlineLevelRow="7" outlineLevelCol="6"/>
  <cols>
    <col min="1" max="1" width="12" customWidth="1"/>
    <col min="2" max="2" width="22" customWidth="1"/>
    <col min="3" max="3" width="30" customWidth="1"/>
    <col min="4" max="4" width="33" customWidth="1"/>
    <col min="5" max="5" width="42" customWidth="1"/>
    <col min="6" max="6" width="15" customWidth="1"/>
    <col min="7" max="7" width="45" customWidth="1"/>
  </cols>
  <sheetData>
    <row r="1" ht="32" customHeight="1" spans="1:7">
      <c r="A1" s="1" t="s">
        <v>489</v>
      </c>
      <c r="B1" s="1" t="s">
        <v>489</v>
      </c>
      <c r="C1" s="1" t="s">
        <v>489</v>
      </c>
      <c r="D1" s="1" t="s">
        <v>489</v>
      </c>
      <c r="E1" s="1" t="s">
        <v>489</v>
      </c>
      <c r="F1" s="1" t="s">
        <v>489</v>
      </c>
      <c r="G1" s="1" t="s">
        <v>489</v>
      </c>
    </row>
    <row r="2" ht="26" customHeight="1" spans="1:7">
      <c r="A2" s="2" t="s">
        <v>490</v>
      </c>
      <c r="B2" s="2" t="s">
        <v>490</v>
      </c>
      <c r="C2" s="2" t="s">
        <v>490</v>
      </c>
      <c r="D2" s="2" t="s">
        <v>490</v>
      </c>
      <c r="E2" s="2" t="s">
        <v>490</v>
      </c>
      <c r="F2" s="2" t="s">
        <v>490</v>
      </c>
      <c r="G2" s="2" t="s">
        <v>490</v>
      </c>
    </row>
    <row r="4" ht="28" customHeight="1" spans="1:7">
      <c r="A4" s="4" t="s">
        <v>491</v>
      </c>
      <c r="B4" s="4" t="s">
        <v>492</v>
      </c>
      <c r="C4" s="4" t="s">
        <v>149</v>
      </c>
      <c r="D4" s="4" t="s">
        <v>220</v>
      </c>
      <c r="E4" s="4" t="s">
        <v>493</v>
      </c>
      <c r="F4" s="4" t="s">
        <v>494</v>
      </c>
      <c r="G4" s="4" t="s">
        <v>13</v>
      </c>
    </row>
    <row r="5" ht="78" customHeight="1" spans="1:7">
      <c r="A5" s="7" t="s">
        <v>495</v>
      </c>
      <c r="B5" s="7" t="s">
        <v>496</v>
      </c>
      <c r="C5" s="7" t="s">
        <v>497</v>
      </c>
      <c r="D5" s="7" t="s">
        <v>498</v>
      </c>
      <c r="E5" s="7" t="s">
        <v>499</v>
      </c>
      <c r="F5" s="7" t="s">
        <v>500</v>
      </c>
      <c r="G5" s="7" t="s">
        <v>501</v>
      </c>
    </row>
    <row r="6" ht="78" customHeight="1" spans="1:7">
      <c r="A6" s="5" t="s">
        <v>502</v>
      </c>
      <c r="B6" s="5" t="s">
        <v>503</v>
      </c>
      <c r="C6" s="5" t="s">
        <v>504</v>
      </c>
      <c r="D6" s="5" t="s">
        <v>505</v>
      </c>
      <c r="E6" s="5" t="s">
        <v>506</v>
      </c>
      <c r="F6" s="5" t="s">
        <v>507</v>
      </c>
      <c r="G6" s="5" t="s">
        <v>508</v>
      </c>
    </row>
    <row r="7" ht="78" customHeight="1" spans="1:7">
      <c r="A7" s="7" t="s">
        <v>509</v>
      </c>
      <c r="B7" s="7" t="s">
        <v>510</v>
      </c>
      <c r="C7" s="7" t="s">
        <v>102</v>
      </c>
      <c r="D7" s="7" t="s">
        <v>511</v>
      </c>
      <c r="E7" s="7" t="s">
        <v>512</v>
      </c>
      <c r="F7" s="7" t="s">
        <v>513</v>
      </c>
      <c r="G7" s="7" t="s">
        <v>514</v>
      </c>
    </row>
    <row r="8" ht="78" customHeight="1" spans="1:7">
      <c r="A8" s="5" t="s">
        <v>515</v>
      </c>
      <c r="B8" s="5" t="s">
        <v>516</v>
      </c>
      <c r="C8" s="5" t="s">
        <v>517</v>
      </c>
      <c r="D8" s="5" t="s">
        <v>518</v>
      </c>
      <c r="E8" s="5" t="s">
        <v>519</v>
      </c>
      <c r="F8" s="5" t="s">
        <v>520</v>
      </c>
      <c r="G8" s="5" t="s">
        <v>521</v>
      </c>
    </row>
  </sheetData>
  <mergeCells count="2">
    <mergeCell ref="A1:G1"/>
    <mergeCell ref="A2:G2"/>
  </mergeCell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showGridLines="0" workbookViewId="0">
      <selection activeCell="A19" sqref="$A19:$XFD23"/>
    </sheetView>
  </sheetViews>
  <sheetFormatPr defaultColWidth="9" defaultRowHeight="16.8" outlineLevelCol="2"/>
  <cols>
    <col min="1" max="1" width="31" customWidth="1"/>
    <col min="2" max="3" width="49" customWidth="1"/>
  </cols>
  <sheetData>
    <row r="1" ht="32" customHeight="1" spans="1:3">
      <c r="A1" s="1" t="s">
        <v>522</v>
      </c>
      <c r="B1" s="1" t="s">
        <v>522</v>
      </c>
      <c r="C1" s="1" t="s">
        <v>522</v>
      </c>
    </row>
    <row r="2" ht="26" customHeight="1" spans="1:3">
      <c r="A2" s="2" t="s">
        <v>523</v>
      </c>
      <c r="B2" s="2" t="s">
        <v>523</v>
      </c>
      <c r="C2" s="2" t="s">
        <v>523</v>
      </c>
    </row>
    <row r="4" ht="24" customHeight="1" spans="1:3">
      <c r="A4" s="3" t="s">
        <v>524</v>
      </c>
      <c r="B4" s="3" t="s">
        <v>524</v>
      </c>
      <c r="C4" s="3" t="s">
        <v>524</v>
      </c>
    </row>
    <row r="5" ht="28" customHeight="1" spans="1:3">
      <c r="A5" s="4" t="s">
        <v>525</v>
      </c>
      <c r="B5" s="4" t="s">
        <v>526</v>
      </c>
      <c r="C5" s="4" t="s">
        <v>527</v>
      </c>
    </row>
    <row r="6" ht="42" customHeight="1" spans="1:3">
      <c r="A6" s="5" t="s">
        <v>528</v>
      </c>
      <c r="B6" s="6">
        <v>8000000</v>
      </c>
      <c r="C6" s="6">
        <v>10000000</v>
      </c>
    </row>
    <row r="7" ht="42" customHeight="1" spans="1:3">
      <c r="A7" s="7" t="s">
        <v>11</v>
      </c>
      <c r="B7" s="8">
        <v>8</v>
      </c>
      <c r="C7" s="8">
        <v>12</v>
      </c>
    </row>
    <row r="8" ht="42" customHeight="1" spans="1:3">
      <c r="A8" s="5" t="s">
        <v>529</v>
      </c>
      <c r="B8" s="9" t="s">
        <v>530</v>
      </c>
      <c r="C8" s="9" t="s">
        <v>531</v>
      </c>
    </row>
    <row r="9" ht="42" customHeight="1" spans="1:3">
      <c r="A9" s="7" t="s">
        <v>532</v>
      </c>
      <c r="B9" s="7" t="s">
        <v>533</v>
      </c>
      <c r="C9" s="7" t="s">
        <v>533</v>
      </c>
    </row>
    <row r="10" ht="42" customHeight="1" spans="1:3">
      <c r="A10" s="5" t="s">
        <v>534</v>
      </c>
      <c r="B10" s="5" t="s">
        <v>535</v>
      </c>
      <c r="C10" s="5" t="s">
        <v>536</v>
      </c>
    </row>
    <row r="11" ht="42" customHeight="1" spans="1:3">
      <c r="A11" s="7" t="s">
        <v>537</v>
      </c>
      <c r="B11" s="7" t="s">
        <v>538</v>
      </c>
      <c r="C11" s="7" t="s">
        <v>538</v>
      </c>
    </row>
    <row r="12" ht="42" customHeight="1" spans="1:3">
      <c r="A12" s="5" t="s">
        <v>539</v>
      </c>
      <c r="B12" s="5" t="s">
        <v>540</v>
      </c>
      <c r="C12" s="5" t="s">
        <v>541</v>
      </c>
    </row>
    <row r="13" ht="42" customHeight="1" spans="1:3">
      <c r="A13" s="7" t="s">
        <v>542</v>
      </c>
      <c r="B13" s="7" t="s">
        <v>543</v>
      </c>
      <c r="C13" s="7" t="s">
        <v>543</v>
      </c>
    </row>
    <row r="14" ht="42" customHeight="1" spans="1:3">
      <c r="A14" s="5" t="s">
        <v>544</v>
      </c>
      <c r="B14" s="5" t="s">
        <v>545</v>
      </c>
      <c r="C14" s="5" t="s">
        <v>545</v>
      </c>
    </row>
    <row r="15" ht="42" customHeight="1" spans="1:3">
      <c r="A15" s="7" t="s">
        <v>546</v>
      </c>
      <c r="B15" s="7" t="s">
        <v>547</v>
      </c>
      <c r="C15" s="7" t="s">
        <v>547</v>
      </c>
    </row>
    <row r="17" ht="28" customHeight="1" spans="1:3">
      <c r="A17" s="10" t="s">
        <v>548</v>
      </c>
      <c r="B17" s="11">
        <f>B6</f>
        <v>8000000</v>
      </c>
      <c r="C17" s="11">
        <f>C6</f>
        <v>10000000</v>
      </c>
    </row>
  </sheetData>
  <mergeCells count="3">
    <mergeCell ref="A1:C1"/>
    <mergeCell ref="A2:C2"/>
    <mergeCell ref="A4:C4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Bắt đầu kênh</vt:lpstr>
      <vt:lpstr>Lịch tháng</vt:lpstr>
      <vt:lpstr>Kịch bản chi tiết</vt:lpstr>
      <vt:lpstr>Cảnh quay</vt:lpstr>
      <vt:lpstr>Batch quay</vt:lpstr>
      <vt:lpstr>Báo giá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</cp:lastModifiedBy>
  <dcterms:created xsi:type="dcterms:W3CDTF">2026-08-26T11:15:21Z</dcterms:created>
  <dcterms:modified xsi:type="dcterms:W3CDTF">2026-08-26T11:19:24Z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BD4A0D08B2B8A5404A698E6AA4FE553F_42</vt:lpwstr>
  </property>
  <property fmtid="{D5CDD505-2E9C-101B-9397-08002B2CF9AE}" pid="3" name="KSOProductBuildVer">
    <vt:lpwstr>1033-6.10.2.8397</vt:lpwstr>
  </property>
</Properties>
</file>