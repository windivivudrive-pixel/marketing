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b7c50b3579e48f4" /></Relationships>
</file>

<file path=xl/workbook.xml><?xml version="1.0" encoding="utf-8"?>
<x:workbook xmlns:x="http://schemas.openxmlformats.org/spreadsheetml/2006/main">
  <x:sheets>
    <x:sheet xmlns:r="http://schemas.openxmlformats.org/officeDocument/2006/relationships" name="Bắt đầu quay" sheetId="1" r:id="R893c5cd9caeb4d44"/>
    <x:sheet xmlns:r="http://schemas.openxmlformats.org/officeDocument/2006/relationships" name="Lịch tháng" sheetId="2" r:id="R8d2c5b5c98dd4708"/>
    <x:sheet xmlns:r="http://schemas.openxmlformats.org/officeDocument/2006/relationships" name="Kịch bản chi tiết" sheetId="3" r:id="Rbc06797b3d66451c"/>
    <x:sheet xmlns:r="http://schemas.openxmlformats.org/officeDocument/2006/relationships" name="Cảnh quay chi tiết" sheetId="4" r:id="R688a1551bfae4228"/>
    <x:sheet xmlns:r="http://schemas.openxmlformats.org/officeDocument/2006/relationships" name="Batch quay" sheetId="5" r:id="Ra740795e29eb432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dd/mm/yyyy"/>
    <x:numFmt numFmtId="201" formatCode="ddd, dd/mm"/>
  </x:numFmts>
  <x:fonts count="6">
    <x:font>
      <x:sz val="11"/>
      <x:name val="Carlito"/>
    </x:font>
    <x:font>
      <x:b/>
      <x:sz val="18"/>
      <x:color rgb="FFFFFFFF"/>
      <x:name val="SVN-Avo"/>
    </x:font>
    <x:font>
      <x:i/>
      <x:sz val="10"/>
      <x:color rgb="FF6D6067"/>
      <x:name val="SVN-Avo"/>
    </x:font>
    <x:font>
      <x:b/>
      <x:sz val="11"/>
      <x:color rgb="FF4A3540"/>
      <x:name val="SVN-Avo"/>
    </x:font>
    <x:font>
      <x:sz val="10"/>
      <x:color rgb="FF4A3540"/>
      <x:name val="SVN-Avo"/>
    </x:font>
    <x:font>
      <x:b/>
      <x:sz val="10"/>
      <x:color rgb="FFFFFFFF"/>
      <x:name val="SVN-Avo"/>
    </x:font>
  </x:fonts>
  <x:fills count="8">
    <x:fill>
      <x:patternFill patternType="none"/>
    </x:fill>
    <x:fill>
      <x:patternFill patternType="gray125"/>
    </x:fill>
    <x:fill>
      <x:patternFill patternType="solid">
        <x:fgColor rgb="FFC66B7C"/>
      </x:patternFill>
    </x:fill>
    <x:fill>
      <x:patternFill patternType="solid">
        <x:fgColor rgb="FFFFF9F7"/>
      </x:patternFill>
    </x:fill>
    <x:fill>
      <x:patternFill patternType="solid">
        <x:fgColor rgb="FFF7DDE4"/>
      </x:patternFill>
    </x:fill>
    <x:fill>
      <x:patternFill patternType="solid">
        <x:fgColor rgb="FFFCECEF"/>
      </x:patternFill>
    </x:fill>
    <x:fill>
      <x:patternFill patternType="solid">
        <x:fgColor rgb="FFF8E9ED"/>
      </x:patternFill>
    </x:fill>
    <x:fill>
      <x:patternFill patternType="solid">
        <x:fgColor rgb="FFF4E5EB"/>
      </x:patternFill>
    </x:fill>
  </x:fills>
  <x:borders count="3">
    <x:border/>
    <x:border>
      <x:left style="thin">
        <x:color rgb="FFE8D9DE"/>
      </x:left>
      <x:right style="thin">
        <x:color rgb="FFE8D9DE"/>
      </x:right>
      <x:top style="thin">
        <x:color rgb="FFE8D9DE"/>
      </x:top>
      <x:bottom style="thin">
        <x:color rgb="FFE8D9DE"/>
      </x:bottom>
    </x:border>
    <x:border>
      <x:left style="thin">
        <x:color rgb="FFC66B7C"/>
      </x:left>
      <x:right style="thin">
        <x:color rgb="FFC66B7C"/>
      </x:right>
      <x:top style="thin">
        <x:color rgb="FFC66B7C"/>
      </x:top>
      <x:bottom style="thin">
        <x:color rgb="FFC66B7C"/>
      </x:bottom>
    </x:border>
  </x:borders>
  <x:cellStyleXfs count="1">
    <x:xf numFmtId="0" fontId="0" fillId="0" borderId="0"/>
  </x:cellStyleXfs>
  <x:cellXfs count="4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left"/>
    </x:xf>
    <x:xf numFmtId="0" fontId="3" fillId="4" borderId="0" xfId="0" applyNumberFormat="1" applyFont="1" applyFill="1" applyBorder="1" applyAlignment="1">
      <x:alignment horizontal="left" vertical="center"/>
    </x:xf>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horizontal="left" wrapText="1"/>
    </x:xf>
    <x:xf numFmtId="0" fontId="4" fillId="3" borderId="0" xfId="0" applyNumberFormat="1" applyFont="1" applyFill="1" applyBorder="1" applyAlignment="1">
      <x:alignment horizontal="left"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5" fillId="2" borderId="1" xfId="0" applyNumberFormat="1" applyFont="1" applyFill="1" applyBorder="1" applyAlignment="1">
      <x:alignment vertical="top" wrapText="1"/>
    </x:xf>
    <x:xf numFmtId="0" fontId="5" fillId="2" borderId="1" xfId="0" applyNumberFormat="1" applyFont="1" applyFill="1" applyBorder="1" applyAlignment="1">
      <x:alignment horizontal="center" vertical="top" wrapText="1"/>
    </x:xf>
    <x:xf numFmtId="0" fontId="5" fillId="2" borderId="1" xfId="0" applyNumberFormat="1" applyFont="1" applyFill="1" applyBorder="1" applyAlignment="1">
      <x:alignment horizontal="center" vertical="center" wrapText="1"/>
    </x:xf>
    <x:xf numFmtId="0" fontId="5" fillId="2" borderId="2" xfId="0" applyNumberFormat="1" applyFont="1" applyFill="1" applyBorder="1" applyAlignment="1">
      <x:alignment horizontal="center" vertical="center" wrapText="1"/>
    </x:xf>
    <x:xf numFmtId="0" fontId="4" fillId="0" borderId="1" xfId="0" applyNumberFormat="1" applyFont="1" applyFill="1" applyBorder="1" applyAlignment="1">
      <x:alignment horizontal="center" vertical="top" wrapText="1"/>
    </x:xf>
    <x:xf numFmtId="0" fontId="4" fillId="0" borderId="1" xfId="0" applyNumberFormat="1" applyFont="1" applyFill="1" applyBorder="1" applyAlignment="1">
      <x:alignment horizontal="left" vertical="top" wrapText="1"/>
    </x:xf>
    <x:xf numFmtId="0" fontId="4" fillId="0" borderId="1" xfId="0" applyNumberFormat="1" applyFont="1" applyFill="1" applyBorder="1" applyAlignment="1">
      <x:alignment horizontal="left" vertical="center"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vertical="center"/>
    </x:xf>
    <x:xf numFmtId="200" fontId="3" fillId="5" borderId="0" xfId="0" applyNumberFormat="1" applyFont="1" applyFill="1" applyBorder="1" applyAlignment="1">
      <x:alignment vertical="center"/>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horizontal="center"/>
    </x:xf>
    <x:xf numFmtId="201" fontId="0" fillId="0" borderId="0" xfId="0" applyNumberFormat="1" applyFont="1" applyFill="1" applyBorder="1"/>
    <x:xf numFmtId="201" fontId="4" fillId="0" borderId="0" xfId="0" applyNumberFormat="1" applyFont="1" applyFill="1" applyBorder="1"/>
    <x:xf numFmtId="201" fontId="4" fillId="0" borderId="0" xfId="0" applyNumberFormat="1" applyFont="1" applyFill="1" applyBorder="1" applyAlignment="1">
      <x:alignment wrapText="1"/>
    </x:xf>
    <x:xf numFmtId="201" fontId="4" fillId="0" borderId="0" xfId="0" applyNumberFormat="1" applyFont="1" applyFill="1" applyBorder="1" applyAlignment="1">
      <x:alignment vertical="top" wrapText="1"/>
    </x:xf>
    <x:xf numFmtId="201" fontId="4" fillId="0" borderId="1" xfId="0" applyNumberFormat="1" applyFont="1" applyFill="1" applyBorder="1" applyAlignment="1">
      <x:alignment vertical="top" wrapText="1"/>
    </x:xf>
    <x:xf numFmtId="0" fontId="5" fillId="2" borderId="0" xfId="0" applyNumberFormat="1" applyFont="1" applyFill="1" applyBorder="1"/>
    <x:xf numFmtId="0" fontId="5" fillId="2" borderId="0" xfId="0" applyNumberFormat="1" applyFont="1" applyFill="1" applyBorder="1" applyAlignment="1">
      <x:alignment wrapText="1"/>
    </x:xf>
    <x:xf numFmtId="0" fontId="5" fillId="2" borderId="0" xfId="0" applyNumberFormat="1" applyFont="1" applyFill="1" applyBorder="1" applyAlignment="1">
      <x:alignment horizontal="center" wrapText="1"/>
    </x:xf>
    <x:xf numFmtId="0" fontId="5" fillId="2" borderId="0" xfId="0" applyNumberFormat="1" applyFont="1" applyFill="1" applyBorder="1" applyAlignment="1">
      <x:alignment horizontal="center" vertical="center" wrapText="1"/>
    </x:xf>
    <x:xf numFmtId="0" fontId="4" fillId="5" borderId="1" xfId="0" applyNumberFormat="1" applyFont="1" applyFill="1" applyBorder="1" applyAlignment="1">
      <x:alignment vertical="top" wrapText="1"/>
    </x:xf>
    <x:xf numFmtId="201" fontId="4" fillId="5" borderId="1" xfId="0" applyNumberFormat="1" applyFont="1" applyFill="1" applyBorder="1" applyAlignment="1">
      <x:alignment vertical="top" wrapText="1"/>
    </x:xf>
  </x:cellXfs>
  <x:cellStyles count="1">
    <x:cellStyle name="Normal" xfId="0"/>
  </x:cellStyles>
  <x:dxfs count="5">
    <x:dxf>
      <x:font>
        <x:color rgb="FF4A3540"/>
      </x:font>
      <x:fill>
        <x:patternFill patternType="solid">
          <x:bgColor rgb="FFFCECEF"/>
        </x:patternFill>
      </x:fill>
    </x:dxf>
    <x:dxf>
      <x:font>
        <x:color rgb="FF4A3540"/>
      </x:font>
      <x:fill>
        <x:patternFill patternType="solid">
          <x:bgColor rgb="FFF9E7EC"/>
        </x:patternFill>
      </x:fill>
    </x:dxf>
    <x:dxf>
      <x:font>
        <x:color rgb="FF4A3540"/>
      </x:font>
      <x:fill>
        <x:patternFill patternType="solid">
          <x:bgColor rgb="FFF4E5EB"/>
        </x:patternFill>
      </x:fill>
    </x:dxf>
    <x:dxf>
      <x:font>
        <x:b/>
        <x:color rgb="FFA24E64"/>
      </x:font>
      <x:fill>
        <x:patternFill patternType="solid">
          <x:bgColor rgb="FFF8E9ED"/>
        </x:patternFill>
      </x:fill>
    </x:dxf>
    <x:dxf>
      <x:font>
        <x:b/>
        <x:color rgb="FFA24E64"/>
      </x:font>
      <x:fill>
        <x:patternFill patternType="solid">
          <x:bgColor rgb="FFF8E9E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9f6279e19224985" /><Relationship Type="http://schemas.openxmlformats.org/officeDocument/2006/relationships/theme" Target="/xl/theme/theme1.xml" Id="R0589fe1dcf5d4ab0" /><Relationship Type="http://schemas.openxmlformats.org/officeDocument/2006/relationships/sharedStrings" Target="/xl/sharedStrings.xml" Id="R117a9a33f2d14b69" /><Relationship Type="http://schemas.openxmlformats.org/officeDocument/2006/relationships/worksheet" Target="/xl/worksheets/sheet1.xml" Id="R893c5cd9caeb4d44" /><Relationship Type="http://schemas.openxmlformats.org/officeDocument/2006/relationships/worksheet" Target="/xl/worksheets/sheet2.xml" Id="R8d2c5b5c98dd4708" /><Relationship Type="http://schemas.openxmlformats.org/officeDocument/2006/relationships/worksheet" Target="/xl/worksheets/sheet3.xml" Id="Rbc06797b3d66451c" /><Relationship Type="http://schemas.openxmlformats.org/officeDocument/2006/relationships/worksheet" Target="/xl/worksheets/sheet4.xml" Id="R688a1551bfae4228" /><Relationship Type="http://schemas.openxmlformats.org/officeDocument/2006/relationships/worksheet" Target="/xl/worksheets/sheet5.xml" Id="Ra740795e29eb4322" /></Relationships>
</file>

<file path=xl/tables/table1.xml><?xml version="1.0" encoding="utf-8"?>
<x:table xmlns:x="http://schemas.openxmlformats.org/spreadsheetml/2006/main" id="1" name="LichNoiDung" displayName="LichNoiDung" ref="A5:J18" headerRowCount="1" totalsRowCount="0" totalsRowShown="0">
  <x:tableColumns count="10">
    <x:tableColumn id="1" name="Mã"/>
    <x:tableColumn id="2" name="Ngày đăng"/>
    <x:tableColumn id="3" name="Tuần"/>
    <x:tableColumn id="4" name="Video / chủ đề"/>
    <x:tableColumn id="5" name="Mục tiêu cảm xúc"/>
    <x:tableColumn id="6" name="Bối cảnh chính"/>
    <x:tableColumn id="7" name="Định dạng"/>
    <x:tableColumn id="8" name="Thời lượng"/>
    <x:tableColumn id="9" name="Ưu tiên tuần"/>
    <x:tableColumn id="10" name="Trạng thái"/>
  </x:tableColumns>
  <x:tableStyleInfo name="TableStyleLight1" showFirstColumn="0" showLastColumn="0" showRowStripes="0" showColumnStripes="0"/>
</x:table>
</file>

<file path=xl/tables/table2.xml><?xml version="1.0" encoding="utf-8"?>
<x:table xmlns:x="http://schemas.openxmlformats.org/spreadsheetml/2006/main" id="2" name="KichBanChiTiet" displayName="KichBanChiTiet" ref="A4:J16" headerRowCount="1" totalsRowCount="0" totalsRowShown="0">
  <x:tableColumns count="10">
    <x:tableColumn id="1" name="Mã"/>
    <x:tableColumn id="2" name="Video"/>
    <x:tableColumn id="3" name="Mục tiêu &amp; cảm xúc"/>
    <x:tableColumn id="4" name="Hook 0–3 giây"/>
    <x:tableColumn id="5" name="Chữ trên màn hình"/>
    <x:tableColumn id="6" name="Voice-over theo nhịp"/>
    <x:tableColumn id="7" name="Storyboard tóm tắt"/>
    <x:tableColumn id="8" name="Âm thanh &amp; nhịp dựng"/>
    <x:tableColumn id="9" name="Caption + CTA + hashtag"/>
    <x:tableColumn id="10" name="Lưu ý riêng tư"/>
  </x:tableColumns>
  <x:tableStyleInfo name="TableStyleLight1" showFirstColumn="0" showLastColumn="0" showRowStripes="0" showColumnStripes="0"/>
</x:table>
</file>

<file path=xl/tables/table3.xml><?xml version="1.0" encoding="utf-8"?>
<x:table xmlns:x="http://schemas.openxmlformats.org/spreadsheetml/2006/main" id="3" name="CanhQuayChiTiet" displayName="CanhQuayChiTiet" ref="A4:J100" headerRowCount="1" totalsRowCount="0" totalsRowShown="0">
  <x:tableColumns count="10">
    <x:tableColumn id="1" name="Mã"/>
    <x:tableColumn id="2" name="Mốc thời gian"/>
    <x:tableColumn id="3" name="Cảnh cần quay"/>
    <x:tableColumn id="4" name="Bối cảnh"/>
    <x:tableColumn id="5" name="Góc máy"/>
    <x:tableColumn id="6" name="Hành động cụ thể"/>
    <x:tableColumn id="7" name="Lời/âm thanh tại cảnh"/>
    <x:tableColumn id="8" name="Thời lượng"/>
    <x:tableColumn id="9" name="Dựng &amp; phụ đề"/>
    <x:tableColumn id="10" name="Check"/>
  </x:tableColumns>
  <x:tableStyleInfo name="TableStyleLight1" showFirstColumn="0" showLastColumn="0" showRowStripes="0" showColumnStripes="0"/>
</x:table>
</file>

<file path=xl/tables/table4.xml><?xml version="1.0" encoding="utf-8"?>
<x:table xmlns:x="http://schemas.openxmlformats.org/spreadsheetml/2006/main" id="4" name="BatchQuay" displayName="BatchQuay" ref="A4:H10" headerRowCount="1" totalsRowCount="0" totalsRowShown="0">
  <x:tableColumns count="8">
    <x:tableColumn id="1" name="Buổi"/>
    <x:tableColumn id="2" name="Thời gian gợi ý"/>
    <x:tableColumn id="3" name="Video dùng"/>
    <x:tableColumn id="4" name="Bối cảnh"/>
    <x:tableColumn id="5" name="Cần chuẩn bị"/>
    <x:tableColumn id="6" name="Danh sách footage"/>
    <x:tableColumn id="7" name="Tổng thời gian"/>
    <x:tableColumn id="8" name="Trạng thái"/>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bdedc329138435f" /></Relationships>
</file>

<file path=xl/worksheets/_rels/sheet3.xml.rels>&#65279;<?xml version="1.0" encoding="utf-8"?><Relationships xmlns="http://schemas.openxmlformats.org/package/2006/relationships"><Relationship Type="http://schemas.openxmlformats.org/officeDocument/2006/relationships/table" Target="/xl/tables/table2.xml" Id="Rd9809cb24aaf4674" /></Relationships>
</file>

<file path=xl/worksheets/_rels/sheet4.xml.rels>&#65279;<?xml version="1.0" encoding="utf-8"?><Relationships xmlns="http://schemas.openxmlformats.org/package/2006/relationships"><Relationship Type="http://schemas.openxmlformats.org/officeDocument/2006/relationships/table" Target="/xl/tables/table3.xml" Id="Ra7de1dbca64f4e1c" /></Relationships>
</file>

<file path=xl/worksheets/_rels/sheet5.xml.rels>&#65279;<?xml version="1.0" encoding="utf-8"?><Relationships xmlns="http://schemas.openxmlformats.org/package/2006/relationships"><Relationship Type="http://schemas.openxmlformats.org/officeDocument/2006/relationships/table" Target="/xl/tables/table4.xml" Id="Rd35ec16cbe7b4780"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28" hidden="0" customWidth="1"/>
    <x:col min="4" max="4" width="28" hidden="0" customWidth="1"/>
    <x:col min="5" max="5" width="16" hidden="0" customWidth="1"/>
    <x:col min="6" max="6" width="16" hidden="0" customWidth="1"/>
    <x:col min="7" max="7" width="16" hidden="0" customWidth="1"/>
    <x:col min="8" max="8" width="16" hidden="0" customWidth="1"/>
  </x:cols>
  <x:sheetData>
    <x:row r="1" ht="32" customHeight="1">
      <x:c r="A1" s="4" t="str">
        <x:v>Linh Phạm • TikTok tháng 1</x:v>
      </x:c>
      <x:c r="B1" s="4"/>
      <x:c r="C1" s="4"/>
      <x:c r="D1" s="4"/>
      <x:c r="E1" s="4"/>
      <x:c r="F1" s="4"/>
      <x:c r="G1" s="4"/>
      <x:c r="H1" s="4"/>
    </x:row>
    <x:row r="2" ht="24" customHeight="1">
      <x:c r="A2" s="7" t="str">
        <x:v>Một kế hoạch thực hành 12 video: quay nhẹ nhàng, nói chuyện như một người chị, không cần phải hoàn hảo.</x:v>
      </x:c>
      <x:c r="B2" s="7"/>
      <x:c r="C2" s="7"/>
      <x:c r="D2" s="7"/>
      <x:c r="E2" s="7"/>
      <x:c r="F2" s="7"/>
      <x:c r="G2" s="7"/>
      <x:c r="H2" s="7"/>
    </x:row>
    <x:row r="4">
      <x:c r="A4" s="11" t="str">
        <x:v>Mục tiêu tháng 1</x:v>
      </x:c>
      <x:c r="B4" s="11"/>
      <x:c r="C4" s="11"/>
      <x:c r="D4" s="11"/>
      <x:c r="E4" s="11"/>
      <x:c r="F4" s="11"/>
      <x:c r="G4" s="11"/>
      <x:c r="H4" s="11"/>
    </x:row>
    <x:row r="5" ht="28" customHeight="1">
      <x:c r="A5" s="15" t="str">
        <x:v>Xuất hiện đều 3 video/tuần và kết nối với người Việt đang sống ở Mỹ qua những nhịp đời thật: commute, công việc, grocery run, bếp Việt và cuối tuần chạy errands. Ưu tiên nói tự nhiên, quay được, đăng được và bớt áp lực sau mỗi video.</x:v>
      </x:c>
      <x:c r="B5" s="15"/>
      <x:c r="C5" s="15"/>
      <x:c r="D5" s="15"/>
      <x:c r="E5" s="15"/>
      <x:c r="F5" s="15"/>
      <x:c r="G5" s="15"/>
      <x:c r="H5" s="15"/>
    </x:row>
    <x:row r="6" ht="28" customHeight="1">
      <x:c r="A6" s="15"/>
      <x:c r="B6" s="15"/>
      <x:c r="C6" s="15"/>
      <x:c r="D6" s="15"/>
      <x:c r="E6" s="15"/>
      <x:c r="F6" s="15"/>
      <x:c r="G6" s="15"/>
      <x:c r="H6" s="15"/>
    </x:row>
    <x:row r="8">
      <x:c r="A8" s="11" t="str">
        <x:v>1. Bộ đồ tối giản</x:v>
      </x:c>
      <x:c r="B8" s="11"/>
      <x:c r="C8" s="11"/>
      <x:c r="D8" s="11"/>
      <x:c r="E8" s="11" t="str">
        <x:v>2. Cách quay dọc dễ nhất</x:v>
      </x:c>
      <x:c r="F8" s="11"/>
      <x:c r="G8" s="11"/>
      <x:c r="H8" s="11"/>
    </x:row>
    <x:row r="9">
      <x:c r="A9" s="24" t="str">
        <x:v>Thiết bị</x:v>
      </x:c>
      <x:c r="B9" s="24" t="str">
        <x:v>Cần có</x:v>
      </x:c>
      <x:c r="C9" s="24" t="str">
        <x:v>Cách dùng</x:v>
      </x:c>
      <x:c r="D9" s="24" t="str">
        <x:v>Tránh</x:v>
      </x:c>
      <x:c r="E9" s="24" t="str">
        <x:v>Thứ tự</x:v>
      </x:c>
      <x:c r="F9" s="24" t="str">
        <x:v>Việc cần làm</x:v>
      </x:c>
      <x:c r="G9" s="24" t="str">
        <x:v>Mẹo cho người mới</x:v>
      </x:c>
      <x:c r="H9" s="24" t="str">
        <x:v>Dấu hiệu đã đủ</x:v>
      </x:c>
    </x:row>
    <x:row r="10" ht="34" customHeight="1">
      <x:c r="A10" s="19" t="str">
        <x:v>Điện thoại</x:v>
      </x:c>
      <x:c r="B10" s="19" t="str">
        <x:v>Đủ pin + 15 GB trống</x:v>
      </x:c>
      <x:c r="C10" s="19" t="str">
        <x:v>Quay dọc 9:16, camera sau khi quay cảnh</x:v>
      </x:c>
      <x:c r="D10" s="19" t="str">
        <x:v>Quay thiếu sáng hoặc lau lens chưa sạch</x:v>
      </x:c>
      <x:c r="E10" s="19" t="str">
        <x:v>1</x:v>
      </x:c>
      <x:c r="F10" s="19" t="str">
        <x:v>Quay 1 câu nói trước camera</x:v>
      </x:c>
      <x:c r="G10" s="19" t="str">
        <x:v>Quay 2 lần, chọn bản tự nhiên hơn</x:v>
      </x:c>
      <x:c r="H10" s="19" t="str">
        <x:v>Có 1 câu rõ mặt, rõ tiếng</x:v>
      </x:c>
    </x:row>
    <x:row r="11" ht="34" customHeight="1">
      <x:c r="A11" s="19" t="str">
        <x:v>Tai nghe có mic</x:v>
      </x:c>
      <x:c r="B11" s="19" t="str">
        <x:v>Nếu thu nói trực tiếp</x:v>
      </x:c>
      <x:c r="C11" s="19" t="str">
        <x:v>Thu ở góc yên, cách mic 15–20 cm</x:v>
      </x:c>
      <x:c r="D11" s="19" t="str">
        <x:v>Thu cạnh đường lớn hoặc quạt mạnh</x:v>
      </x:c>
      <x:c r="E11" s="19" t="str">
        <x:v>2</x:v>
      </x:c>
      <x:c r="F11" s="19" t="str">
        <x:v>Quay footage hành động</x:v>
      </x:c>
      <x:c r="G11" s="19" t="str">
        <x:v>Mỗi cảnh 3–5 giây, giữ máy cố định</x:v>
      </x:c>
      <x:c r="H11" s="19" t="str">
        <x:v>Có 6–8 cảnh khác nhau</x:v>
      </x:c>
    </x:row>
    <x:row r="12" ht="34" customHeight="1">
      <x:c r="A12" s="19" t="str">
        <x:v>Tripod nhỏ</x:v>
      </x:c>
      <x:c r="B12" s="19" t="str">
        <x:v>Nên có</x:v>
      </x:c>
      <x:c r="C12" s="19" t="str">
        <x:v>Đặt ngang tầm mắt khi Linh nói camera</x:v>
      </x:c>
      <x:c r="D12" s="19" t="str">
        <x:v>Góc máy thấp từ dưới cằm</x:v>
      </x:c>
      <x:c r="E12" s="19" t="str">
        <x:v>3</x:v>
      </x:c>
      <x:c r="F12" s="19" t="str">
        <x:v>Thu voice-over</x:v>
      </x:c>
      <x:c r="G12" s="19" t="str">
        <x:v>Đọc chậm, như nhắn cho bạn thân</x:v>
      </x:c>
      <x:c r="H12" s="19" t="str">
        <x:v>Khớp khoảng 60–70 giây</x:v>
      </x:c>
    </x:row>
    <x:row r="13" ht="34" customHeight="1">
      <x:c r="A13" s="19" t="str">
        <x:v>Ánh sáng</x:v>
      </x:c>
      <x:c r="B13" s="19" t="str">
        <x:v>Cửa sổ/ban công</x:v>
      </x:c>
      <x:c r="C13" s="19" t="str">
        <x:v>Đứng quay mặt về phía cửa sổ</x:v>
      </x:c>
      <x:c r="D13" s="19" t="str">
        <x:v>Nguồn sáng ở sau lưng</x:v>
      </x:c>
      <x:c r="E13" s="19" t="str">
        <x:v>4</x:v>
      </x:c>
      <x:c r="F13" s="19" t="str">
        <x:v>Dựng bản nháp</x:v>
      </x:c>
      <x:c r="G13" s="19" t="str">
        <x:v>Cắt mọi khoảng ngập ngừng dài</x:v>
      </x:c>
      <x:c r="H13" s="19" t="str">
        <x:v>Câu đầu xuất hiện trong 3 giây</x:v>
      </x:c>
    </x:row>
    <x:row r="14" ht="34" customHeight="1">
      <x:c r="A14" s="19" t="str">
        <x:v>Ứng dụng dựng</x:v>
      </x:c>
      <x:c r="B14" s="19" t="str">
        <x:v>CapCut/TikTok</x:v>
      </x:c>
      <x:c r="C14" s="19" t="str">
        <x:v>Cắt theo nhịp câu nói, thêm phụ đề lớn</x:v>
      </x:c>
      <x:c r="D14" s="19" t="str">
        <x:v>Nhồi quá nhiều hiệu ứng</x:v>
      </x:c>
      <x:c r="E14" s="19" t="str">
        <x:v>5</x:v>
      </x:c>
      <x:c r="F14" s="19" t="str">
        <x:v>Thêm phụ đề + đăng</x:v>
      </x:c>
      <x:c r="G14" s="19" t="str">
        <x:v>Chỉ nhấn 3–5 từ khóa mỗi câu</x:v>
      </x:c>
      <x:c r="H14" s="19" t="str">
        <x:v>Xem lại không cần mở tiếng vẫn hiểu</x:v>
      </x:c>
    </x:row>
    <x:row r="15" ht="34" customHeight="1">
      <x:c r="E15" s="19" t="str">
        <x:v>6</x:v>
      </x:c>
      <x:c r="F15" s="19" t="str">
        <x:v>Ghi chú sau đăng</x:v>
      </x:c>
      <x:c r="G15" s="19" t="str">
        <x:v>Lưu một dòng: điều dễ/khó nhất</x:v>
      </x:c>
      <x:c r="H15" s="19" t="str">
        <x:v>Biết lần sau cần chỉnh gì</x:v>
      </x:c>
    </x:row>
    <x:row r="17">
      <x:c r="A17" s="11" t="str">
        <x:v>3. Quy tắc giọng nói và an toàn riêng tư</x:v>
      </x:c>
      <x:c r="B17" s="11"/>
      <x:c r="C17" s="11"/>
      <x:c r="D17" s="11"/>
      <x:c r="E17" s="11"/>
      <x:c r="F17" s="11"/>
      <x:c r="G17" s="11"/>
      <x:c r="H17" s="11"/>
    </x:row>
    <x:row r="18">
      <x:c r="A18" s="24" t="str">
        <x:v>Nên nói</x:v>
      </x:c>
      <x:c r="B18" s="24" t="str">
        <x:v>Không nên nói</x:v>
      </x:c>
      <x:c r="C18" s="24" t="str">
        <x:v>Quy tắc riêng tư</x:v>
      </x:c>
      <x:c r="D18" s="24" t="str">
        <x:v>Checklist trước khi đăng</x:v>
      </x:c>
      <x:c r="E18" s="24" t="str"/>
      <x:c r="F18" s="24" t="str"/>
      <x:c r="G18" s="24" t="str"/>
      <x:c r="H18" s="24" t="str"/>
    </x:row>
    <x:row r="19" ht="34" customHeight="1">
      <x:c r="A19" s="19" t="str">
        <x:v>“Hôm nay hơi đuối thật.”</x:v>
      </x:c>
      <x:c r="B19" s="19" t="str">
        <x:v>“Các bạn phải tích cực lên.”</x:v>
      </x:c>
      <x:c r="C19" s="19" t="str">
        <x:v>Không quay mặt người lạ ở grocery store/quán/gym.</x:v>
      </x:c>
      <x:c r="D19" s="19" t="str">
        <x:v>✓ Mở đầu nghe giống câu sẽ nói ngoài đời.</x:v>
      </x:c>
      <x:c r="E19" s="19" t="str"/>
      <x:c r="F19" s="19" t="str"/>
      <x:c r="G19" s="19" t="str"/>
      <x:c r="H19" s="19" t="str"/>
    </x:row>
    <x:row r="20" ht="34" customHeight="1">
      <x:c r="A20" s="19" t="str">
        <x:v>“Thôi, làm một việc trước.”</x:v>
      </x:c>
      <x:c r="B20" s="19" t="str">
        <x:v>“Đây là cách đúng duy nhất.”</x:v>
      </x:c>
      <x:c r="C20" s="19" t="str">
        <x:v>Không lộ địa chỉ nhà, lịch trình chi tiết, màn hình công việc.</x:v>
      </x:c>
      <x:c r="D20" s="19" t="str">
        <x:v>✓ Câu ngắn, có chỗ ngắt; không đọc đều như bài viết.</x:v>
      </x:c>
      <x:c r="E20" s="19" t="str"/>
      <x:c r="F20" s="19" t="str"/>
      <x:c r="G20" s="19" t="str"/>
      <x:c r="H20" s="19" t="str"/>
    </x:row>
    <x:row r="21" ht="34" customHeight="1">
      <x:c r="A21" s="19" t="str">
        <x:v>“Các bạn có thể thử xem sao.”</x:v>
      </x:c>
      <x:c r="B21" s="19" t="str">
        <x:v>“Làm vậy chắc chắn sẽ tốt hơn.”</x:v>
      </x:c>
      <x:c r="C21" s="19" t="str">
        <x:v>Nếu có trẻ em/người quen, hỏi trước khi đăng hình.</x:v>
      </x:c>
      <x:c r="D21" s="19" t="str">
        <x:v>✓ Phụ đề dễ đọc và cảnh quay đủ sáng.</x:v>
      </x:c>
      <x:c r="E21" s="19" t="str"/>
      <x:c r="F21" s="19" t="str"/>
      <x:c r="G21" s="19" t="str"/>
      <x:c r="H21" s="19" t="str"/>
    </x:row>
    <x:row r="22" ht="34" customHeight="1">
      <x:c r="A22" s="19" t="str">
        <x:v>“Hôm nay mình chỉ làm được vậy thôi.”</x:v>
      </x:c>
      <x:c r="B22" s="19" t="str">
        <x:v>So sánh cơ thể, tiền bạc hoặc cuộc sống của người khác.</x:v>
      </x:c>
      <x:c r="C22" s="19" t="str">
        <x:v>Chỉ quay góc bàn/đồ vật nếu nơi làm việc nhạy cảm.</x:v>
      </x:c>
      <x:c r="D22" s="19" t="str">
        <x:v>✓ Không dùng nhạc lớn hơn giọng nói.</x:v>
      </x:c>
      <x:c r="E22" s="19" t="str"/>
      <x:c r="F22" s="19" t="str"/>
      <x:c r="G22" s="19" t="str"/>
      <x:c r="H22" s="19" t="str"/>
    </x:row>
    <x:row r="23" ht="54" customHeight="1">
      <x:c r="A23" s="19" t="str">
        <x:v>Có thể dùng tự nhiên: commute, grocery run, coffee-to-go, errands.</x:v>
      </x:c>
      <x:c r="B23" s="19" t="str">
        <x:v>Tránh chèn tiếng Anh dày hoặc giải thích như đang giảng.</x:v>
      </x:c>
      <x:c r="C23" s="19" t="str">
        <x:v>Không quay khi lái xe; chỉ quay trong xe lúc đã đỗ an toàn.</x:v>
      </x:c>
      <x:c r="D23" s="19" t="str">
        <x:v>✓ Không bắt buộc kết bằng câu hỏi; câu chốt tự nhiên là đủ.</x:v>
      </x:c>
      <x:c r="E23" s="19" t="str"/>
      <x:c r="F23" s="19" t="str"/>
      <x:c r="G23" s="19" t="str"/>
      <x:c r="H23" s="19" t="str"/>
    </x:row>
    <x:row r="25">
      <x:c r="A25" s="11" t="str">
        <x:v>Quy trình 1 video (khoảng 60–90 phút)</x:v>
      </x:c>
      <x:c r="B25" s="11"/>
      <x:c r="C25" s="11"/>
      <x:c r="D25" s="11"/>
      <x:c r="E25" s="11"/>
      <x:c r="F25" s="11"/>
      <x:c r="G25" s="11"/>
      <x:c r="H25" s="11"/>
    </x:row>
    <x:row r="26">
      <x:c r="A26" s="24" t="str">
        <x:v>1. Chọn kịch bản</x:v>
      </x:c>
      <x:c r="B26" s="24" t="str">
        <x:v>2. Quay cảnh</x:v>
      </x:c>
      <x:c r="C26" s="24" t="str">
        <x:v>3. Thu voice-over</x:v>
      </x:c>
      <x:c r="D26" s="24" t="str">
        <x:v>4. Dựng + phụ đề</x:v>
      </x:c>
      <x:c r="E26" s="24" t="str">
        <x:v>5. Đăng + ghi chú</x:v>
      </x:c>
      <x:c r="F26" t="str"/>
      <x:c r="G26" t="str"/>
      <x:c r="H26" t="str"/>
    </x:row>
    <x:row r="27" ht="42" customHeight="1">
      <x:c r="A27" s="27" t="str">
        <x:v>Đọc cột Hook và Voice-over; không cần thuộc lòng.</x:v>
      </x:c>
      <x:c r="B27" s="27" t="str">
        <x:v>Quay theo sheet Cảnh quay chi tiết; lấy dư mỗi cảnh 1 lần.</x:v>
      </x:c>
      <x:c r="C27" s="27" t="str">
        <x:v>Đọc chậm 2 bản; chọn bản chân thật nhất.</x:v>
      </x:c>
      <x:c r="D27" s="27" t="str">
        <x:v>Dựng trước, thêm nhạc nền nhỏ sau cùng.</x:v>
      </x:c>
      <x:c r="E27" s="27" t="str">
        <x:v>Đăng đúng lịch; sau 24 giờ ghi 1 điều học được.</x:v>
      </x:c>
      <x:c r="F27" t="str"/>
      <x:c r="G27" t="str"/>
      <x:c r="H27" t="str"/>
    </x:row>
    <x:row r="28">
      <x:c r="A28" s="25" t="str">
        <x:v>10 phút</x:v>
      </x:c>
      <x:c r="B28" s="25" t="str">
        <x:v>20–30 phút</x:v>
      </x:c>
      <x:c r="C28" s="25" t="str">
        <x:v>10 phút</x:v>
      </x:c>
      <x:c r="D28" s="25" t="str">
        <x:v>20–30 phút</x:v>
      </x:c>
      <x:c r="E28" s="25" t="str">
        <x:v>5 phút</x:v>
      </x:c>
      <x:c r="F28" t="str"/>
      <x:c r="G28" t="str"/>
      <x:c r="H28" t="str"/>
    </x:row>
  </x:sheetData>
  <x:mergeCells>
    <x:mergeCell ref="A1:H1"/>
    <x:mergeCell ref="A2:H2"/>
    <x:mergeCell ref="A4:H4"/>
    <x:mergeCell ref="A5:H6"/>
    <x:mergeCell ref="A8:D8"/>
    <x:mergeCell ref="E8:H8"/>
    <x:mergeCell ref="A17:H17"/>
    <x:mergeCell ref="A25:H2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5" hidden="0" customWidth="1"/>
    <x:col min="3" max="3" width="10" hidden="0" customWidth="1"/>
    <x:col min="4" max="4" width="34" hidden="0" customWidth="1"/>
    <x:col min="5" max="5" width="28" hidden="0" customWidth="1"/>
    <x:col min="6" max="6" width="23" hidden="0" customWidth="1"/>
    <x:col min="7" max="7" width="18" hidden="0" customWidth="1"/>
    <x:col min="8" max="8" width="12" hidden="0" customWidth="1"/>
    <x:col min="9" max="9" width="20" hidden="0" customWidth="1"/>
    <x:col min="10" max="10" width="14" hidden="0" customWidth="1"/>
  </x:cols>
  <x:sheetData>
    <x:row r="1" ht="32" customHeight="1">
      <x:c r="A1" s="4" t="str">
        <x:v>Lịch đăng TikTok • 4 tuần / 12 video</x:v>
      </x:c>
      <x:c r="B1" s="4"/>
      <x:c r="C1" s="4"/>
      <x:c r="D1" s="4"/>
      <x:c r="E1" s="4"/>
      <x:c r="F1" s="4"/>
      <x:c r="G1" s="4"/>
      <x:c r="H1" s="4"/>
      <x:c r="I1" s="4"/>
      <x:c r="J1" s="4"/>
    </x:row>
    <x:row r="2" ht="24" customHeight="1">
      <x:c r="A2" s="7" t="str">
        <x:v>Lịch bắt đầu Thứ Hai 17/08/2026. Có thể đổi ô B3 để dời cả tháng; giữ nhịp Thứ Hai – Thứ Tư – Thứ Sáu.</x:v>
      </x:c>
      <x:c r="B2" s="7"/>
      <x:c r="C2" s="7"/>
      <x:c r="D2" s="7"/>
      <x:c r="E2" s="7"/>
      <x:c r="F2" s="7"/>
      <x:c r="G2" s="7"/>
      <x:c r="H2" s="7"/>
      <x:c r="I2" s="7"/>
      <x:c r="J2" s="7"/>
    </x:row>
    <x:row r="3">
      <x:c r="A3" s="30" t="str">
        <x:v>Ngày Thứ Hai tuần 1</x:v>
      </x:c>
      <x:c r="B3" s="31" t="n">
        <x:v>46251</x:v>
      </x:c>
      <x:c r="D3" s="34" t="str">
        <x:v>Tổng video</x:v>
      </x:c>
      <x:c r="E3" s="34" t="n">
        <x:f>COUNTA(A7:A18)</x:f>
        <x:v>12</x:v>
      </x:c>
      <x:c r="G3" s="37" t="str">
        <x:v>Đã đăng</x:v>
      </x:c>
      <x:c r="H3" s="37" t="n">
        <x:f>COUNTIF(J7:J18,"Đã đăng")</x:f>
        <x:v>0</x:v>
      </x:c>
    </x:row>
    <x:row r="5" ht="30" customHeight="1">
      <x:c r="A5" s="24" t="str">
        <x:v>Mã</x:v>
      </x:c>
      <x:c r="B5" s="24" t="str">
        <x:v>Ngày đăng</x:v>
      </x:c>
      <x:c r="C5" s="24" t="str">
        <x:v>Tuần</x:v>
      </x:c>
      <x:c r="D5" s="24" t="str">
        <x:v>Video / chủ đề</x:v>
      </x:c>
      <x:c r="E5" s="24" t="str">
        <x:v>Mục tiêu cảm xúc</x:v>
      </x:c>
      <x:c r="F5" s="24" t="str">
        <x:v>Bối cảnh chính</x:v>
      </x:c>
      <x:c r="G5" s="24" t="str">
        <x:v>Định dạng</x:v>
      </x:c>
      <x:c r="H5" s="24" t="str">
        <x:v>Thời lượng</x:v>
      </x:c>
      <x:c r="I5" s="24" t="str">
        <x:v>Ưu tiên tuần</x:v>
      </x:c>
      <x:c r="J5" s="24" t="str">
        <x:v>Trạng thái</x:v>
      </x:c>
    </x:row>
    <x:row r="7" ht="46" customHeight="1">
      <x:c r="A7" s="47" t="str">
        <x:v>V01</x:v>
      </x:c>
      <x:c r="B7" s="48" t="n">
        <x:f>$B$3</x:f>
        <x:v>46251</x:v>
      </x:c>
      <x:c r="C7" s="47" t="str">
        <x:v>Tuần 1</x:v>
      </x:c>
      <x:c r="D7" s="47" t="str">
        <x:v>Morning trước giờ commute</x:v>
      </x:c>
      <x:c r="E7" s="47" t="str">
        <x:v>Bớt cuống trước khi ra khỏi nhà</x:v>
      </x:c>
      <x:c r="F7" s="47" t="str">
        <x:v>Nhà + xe đã đỗ</x:v>
      </x:c>
      <x:c r="G7" s="47" t="str">
        <x:v>Mở mặt + VO vlog</x:v>
      </x:c>
      <x:c r="H7" s="47" t="str">
        <x:v>60–65s</x:v>
      </x:c>
      <x:c r="I7" s="47" t="str">
        <x:v>Quay một sáng đi làm thật</x:v>
      </x:c>
      <x:c r="J7" s="47" t="str">
        <x:v>Chưa quay</x:v>
      </x:c>
    </x:row>
    <x:row r="8" ht="46" customHeight="1">
      <x:c r="A8" s="19" t="str">
        <x:v>V02</x:v>
      </x:c>
      <x:c r="B8" s="42" t="n">
        <x:f>$B$3+2</x:f>
        <x:v>46253</x:v>
      </x:c>
      <x:c r="C8" s="19" t="str">
        <x:v>Tuần 1</x:v>
      </x:c>
      <x:c r="D8" s="19" t="str">
        <x:v>Grocery run &amp; một bữa cơm nóng</x:v>
      </x:c>
      <x:c r="E8" s="19" t="str">
        <x:v>Mang cảm giác “nhà” vào ngày bận</x:v>
      </x:c>
      <x:c r="F8" s="19" t="str">
        <x:v>Grocery store + bếp</x:v>
      </x:c>
      <x:c r="G8" s="19" t="str">
        <x:v>VO vlog</x:v>
      </x:c>
      <x:c r="H8" s="19" t="str">
        <x:v>65–70s</x:v>
      </x:c>
      <x:c r="I8" s="19" t="str">
        <x:v>Quay grocery run cuối tuần</x:v>
      </x:c>
      <x:c r="J8" s="19" t="str">
        <x:v>Chưa quay</x:v>
      </x:c>
    </x:row>
    <x:row r="9" ht="46" customHeight="1">
      <x:c r="A9" s="47" t="str">
        <x:v>V03</x:v>
      </x:c>
      <x:c r="B9" s="48" t="n">
        <x:f>$B$3+4</x:f>
        <x:v>46255</x:v>
      </x:c>
      <x:c r="C9" s="47" t="str">
        <x:v>Tuần 1</x:v>
      </x:c>
      <x:c r="D9" s="47" t="str">
        <x:v>Coffee break giữa một ngày bận</x:v>
      </x:c>
      <x:c r="E9" s="47" t="str">
        <x:v>Nghỉ mà không thấy có lỗi</x:v>
      </x:c>
      <x:c r="F9" s="47" t="str">
        <x:v>Coffee shop / coffee-to-go</x:v>
      </x:c>
      <x:c r="G9" s="47" t="str">
        <x:v>Mở mặt + VO</x:v>
      </x:c>
      <x:c r="H9" s="47" t="str">
        <x:v>60–65s</x:v>
      </x:c>
      <x:c r="I9" s="47" t="str">
        <x:v>Quay lúc quán vắng</x:v>
      </x:c>
      <x:c r="J9" s="47" t="str">
        <x:v>Chưa quay</x:v>
      </x:c>
    </x:row>
    <x:row r="10" ht="46" customHeight="1">
      <x:c r="A10" s="19" t="str">
        <x:v>V04</x:v>
      </x:c>
      <x:c r="B10" s="42" t="n">
        <x:f>$B$3+7</x:f>
        <x:v>46258</x:v>
      </x:c>
      <x:c r="C10" s="19" t="str">
        <x:v>Tuần 2</x:v>
      </x:c>
      <x:c r="D10" s="19" t="str">
        <x:v>Một buổi gym vừa đủ</x:v>
      </x:c>
      <x:c r="E10" s="19" t="str">
        <x:v>Tập mà không tự gây áp lực</x:v>
      </x:c>
      <x:c r="F10" s="19" t="str">
        <x:v>Gym / công viên</x:v>
      </x:c>
      <x:c r="G10" s="19" t="str">
        <x:v>VO vlog</x:v>
      </x:c>
      <x:c r="H10" s="19" t="str">
        <x:v>60–65s</x:v>
      </x:c>
      <x:c r="I10" s="19" t="str">
        <x:v>Quay một buổi tập thật</x:v>
      </x:c>
      <x:c r="J10" s="19" t="str">
        <x:v>Chưa quay</x:v>
      </x:c>
    </x:row>
    <x:row r="11" ht="46" customHeight="1">
      <x:c r="A11" s="47" t="str">
        <x:v>V05</x:v>
      </x:c>
      <x:c r="B11" s="48" t="n">
        <x:f>$B$3+9</x:f>
        <x:v>46260</x:v>
      </x:c>
      <x:c r="C11" s="47" t="str">
        <x:v>Tuần 2</x:v>
      </x:c>
      <x:c r="D11" s="47" t="str">
        <x:v>Meal prep cho những tối về muộn</x:v>
      </x:c>
      <x:c r="E11" s="47" t="str">
        <x:v>Giảm một quyết định sau giờ làm</x:v>
      </x:c>
      <x:c r="F11" s="47" t="str">
        <x:v>Grocery bags + bếp</x:v>
      </x:c>
      <x:c r="G11" s="47" t="str">
        <x:v>VO vlog</x:v>
      </x:c>
      <x:c r="H11" s="47" t="str">
        <x:v>60–65s</x:v>
      </x:c>
      <x:c r="I11" s="47" t="str">
        <x:v>Quay cùng V02/V11</x:v>
      </x:c>
      <x:c r="J11" s="47" t="str">
        <x:v>Chưa quay</x:v>
      </x:c>
    </x:row>
    <x:row r="12" ht="46" customHeight="1">
      <x:c r="A12" s="19" t="str">
        <x:v>V06</x:v>
      </x:c>
      <x:c r="B12" s="42" t="n">
        <x:f>$B$3+11</x:f>
        <x:v>46262</x:v>
      </x:c>
      <x:c r="C12" s="19" t="str">
        <x:v>Tuần 2</x:v>
      </x:c>
      <x:c r="D12" s="19" t="str">
        <x:v>Một ngày commute và công việc đều bận</x:v>
      </x:c>
      <x:c r="E12" s="19" t="str">
        <x:v>Giữ đầu óc bớt quá tải</x:v>
      </x:c>
      <x:c r="F12" s="19" t="str">
        <x:v>Xe đã đỗ + office/home office</x:v>
      </x:c>
      <x:c r="G12" s="19" t="str">
        <x:v>Mở mặt + VO</x:v>
      </x:c>
      <x:c r="H12" s="19" t="str">
        <x:v>60–65s</x:v>
      </x:c>
      <x:c r="I12" s="19" t="str">
        <x:v>Rải cảnh trong ngày làm việc</x:v>
      </x:c>
      <x:c r="J12" s="19" t="str">
        <x:v>Chưa quay</x:v>
      </x:c>
    </x:row>
    <x:row r="13" ht="46" customHeight="1">
      <x:c r="A13" s="47" t="str">
        <x:v>V07</x:v>
      </x:c>
      <x:c r="B13" s="48" t="n">
        <x:f>$B$3+14</x:f>
        <x:v>46265</x:v>
      </x:c>
      <x:c r="C13" s="47" t="str">
        <x:v>Tuần 3</x:v>
      </x:c>
      <x:c r="D13" s="47" t="str">
        <x:v>Dọn một góc nhà sau ngày dài</x:v>
      </x:c>
      <x:c r="E13" s="47" t="str">
        <x:v>Tạo khoảng thở trong nhà</x:v>
      </x:c>
      <x:c r="F13" s="47" t="str">
        <x:v>Apartment/nhà + bàn/counter</x:v>
      </x:c>
      <x:c r="G13" s="47" t="str">
        <x:v>VO vlog</x:v>
      </x:c>
      <x:c r="H13" s="47" t="str">
        <x:v>60–65s</x:v>
      </x:c>
      <x:c r="I13" s="47" t="str">
        <x:v>Quay sau một ngày thật</x:v>
      </x:c>
      <x:c r="J13" s="47" t="str">
        <x:v>Chưa quay</x:v>
      </x:c>
    </x:row>
    <x:row r="14" ht="46" customHeight="1">
      <x:c r="A14" s="19" t="str">
        <x:v>V08</x:v>
      </x:c>
      <x:c r="B14" s="42" t="n">
        <x:f>$B$3+16</x:f>
        <x:v>46267</x:v>
      </x:c>
      <x:c r="C14" s="19" t="str">
        <x:v>Tuần 3</x:v>
      </x:c>
      <x:c r="D14" s="19" t="str">
        <x:v>Log off rồi nhưng to-do list vẫn còn</x:v>
      </x:c>
      <x:c r="E14" s="19" t="str">
        <x:v>Cho phép kết thúc ngày làm việc</x:v>
      </x:c>
      <x:c r="F14" s="19" t="str">
        <x:v>Office/home office + đường về</x:v>
      </x:c>
      <x:c r="G14" s="19" t="str">
        <x:v>Mở mặt + VO</x:v>
      </x:c>
      <x:c r="H14" s="19" t="str">
        <x:v>60–65s</x:v>
      </x:c>
      <x:c r="I14" s="19" t="str">
        <x:v>Quay vào cuối giờ làm</x:v>
      </x:c>
      <x:c r="J14" s="19" t="str">
        <x:v>Chưa quay</x:v>
      </x:c>
    </x:row>
    <x:row r="15" ht="46" customHeight="1">
      <x:c r="A15" s="47" t="str">
        <x:v>V09</x:v>
      </x:c>
      <x:c r="B15" s="48" t="n">
        <x:f>$B$3+18</x:f>
        <x:v>46269</x:v>
      </x:c>
      <x:c r="C15" s="47" t="str">
        <x:v>Tuần 3</x:v>
      </x:c>
      <x:c r="D15" s="47" t="str">
        <x:v>Buổi tối không self-improvement</x:v>
      </x:c>
      <x:c r="E15" s="47" t="str">
        <x:v>Nghỉ đúng nghĩa sau ngày dài</x:v>
      </x:c>
      <x:c r="F15" s="47" t="str">
        <x:v>Nhà / sofa / phòng ngủ</x:v>
      </x:c>
      <x:c r="G15" s="47" t="str">
        <x:v>VO vlog</x:v>
      </x:c>
      <x:c r="H15" s="47" t="str">
        <x:v>60–65s</x:v>
      </x:c>
      <x:c r="I15" s="47" t="str">
        <x:v>Quay một tối bình thường</x:v>
      </x:c>
      <x:c r="J15" s="47" t="str">
        <x:v>Chưa quay</x:v>
      </x:c>
    </x:row>
    <x:row r="16" ht="46" customHeight="1">
      <x:c r="A16" s="19" t="str">
        <x:v>V10</x:v>
      </x:c>
      <x:c r="B16" s="42" t="n">
        <x:f>$B$3+21</x:f>
        <x:v>46272</x:v>
      </x:c>
      <x:c r="C16" s="19" t="str">
        <x:v>Tuần 4</x:v>
      </x:c>
      <x:c r="D16" s="19" t="str">
        <x:v>Weekend errands và một khoảng thở</x:v>
      </x:c>
      <x:c r="E16" s="19" t="str">
        <x:v>Giữ lại cảm giác cuối tuần</x:v>
      </x:c>
      <x:c r="F16" s="19" t="str">
        <x:v>Laundry/grocery/park/coffee</x:v>
      </x:c>
      <x:c r="G16" s="19" t="str">
        <x:v>Mở mặt + VO</x:v>
      </x:c>
      <x:c r="H16" s="19" t="str">
        <x:v>60–65s</x:v>
      </x:c>
      <x:c r="I16" s="19" t="str">
        <x:v>Quay trong một ngày errands</x:v>
      </x:c>
      <x:c r="J16" s="19" t="str">
        <x:v>Chưa quay</x:v>
      </x:c>
    </x:row>
    <x:row r="17" ht="46" customHeight="1">
      <x:c r="A17" s="47" t="str">
        <x:v>V11</x:v>
      </x:c>
      <x:c r="B17" s="48" t="n">
        <x:f>$B$3+23</x:f>
        <x:v>46274</x:v>
      </x:c>
      <x:c r="C17" s="47" t="str">
        <x:v>Tuần 4</x:v>
      </x:c>
      <x:c r="D17" s="47" t="str">
        <x:v>Một bữa cơm Việt giữa tuần</x:v>
      </x:c>
      <x:c r="E17" s="47" t="str">
        <x:v>Kết nối với cảm giác quê nhà</x:v>
      </x:c>
      <x:c r="F17" s="47" t="str">
        <x:v>Grocery store + bếp</x:v>
      </x:c>
      <x:c r="G17" s="47" t="str">
        <x:v>VO vlog</x:v>
      </x:c>
      <x:c r="H17" s="47" t="str">
        <x:v>65–70s</x:v>
      </x:c>
      <x:c r="I17" s="47" t="str">
        <x:v>Quay cùng V02/V05</x:v>
      </x:c>
      <x:c r="J17" s="47" t="str">
        <x:v>Chưa quay</x:v>
      </x:c>
    </x:row>
    <x:row r="18" ht="46" customHeight="1">
      <x:c r="A18" s="19" t="str">
        <x:v>V12</x:v>
      </x:c>
      <x:c r="B18" s="42" t="n">
        <x:f>$B$3+25</x:f>
        <x:v>46276</x:v>
      </x:c>
      <x:c r="C18" s="19" t="str">
        <x:v>Tuần 4</x:v>
      </x:c>
      <x:c r="D18" s="19" t="str">
        <x:v>Một tháng sống đều hơn, không cần hoàn hảo</x:v>
      </x:c>
      <x:c r="E18" s="19" t="str">
        <x:v>Ghi nhận quá trình thật</x:v>
      </x:c>
      <x:c r="F18" s="19" t="str">
        <x:v>Nhà / bàn trà / clip cũ</x:v>
      </x:c>
      <x:c r="G18" s="19" t="str">
        <x:v>Nói camera + VO</x:v>
      </x:c>
      <x:c r="H18" s="19" t="str">
        <x:v>60–65s</x:v>
      </x:c>
      <x:c r="I18" s="19" t="str">
        <x:v>Dùng footage cả tháng</x:v>
      </x:c>
      <x:c r="J18" s="19" t="str">
        <x:v>Chưa quay</x:v>
      </x:c>
    </x:row>
  </x:sheetData>
  <x:mergeCells>
    <x:mergeCell ref="A1:J1"/>
    <x:mergeCell ref="A2:J2"/>
  </x:mergeCells>
  <x:conditionalFormatting sqref="J7:J18">
    <x:cfRule type="containsText" dxfId="0" priority="1" operator="containsText" text="Chưa quay"/>
    <x:cfRule type="containsText" dxfId="1" priority="2" operator="containsText" text="Đã quay"/>
    <x:cfRule type="containsText" dxfId="2" priority="3" operator="containsText" text="Đang dựng"/>
    <x:cfRule type="containsText" dxfId="3" priority="4" operator="containsText" text="Đã đăng"/>
  </x:conditionalFormatting>
  <x:dataValidations count="1">
    <x:dataValidation type="list" sqref="J7:J18">
      <x:formula1>"Chưa quay,Đã quay,Đang dựng,Đã đăng"</x:formula1>
    </x:dataValidation>
  </x:dataValidations>
  <x:pageMargins left="0.7" right="0.7" top="0.75" bottom="0.75" header="0.3" footer="0.3"/>
  <x:tableParts count="1">
    <x:tablePart xmlns:r="http://schemas.openxmlformats.org/officeDocument/2006/relationships" r:id="R1bdedc329138435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24" hidden="0" customWidth="1"/>
    <x:col min="4" max="4" width="28" hidden="0" customWidth="1"/>
    <x:col min="5" max="5" width="28" hidden="0" customWidth="1"/>
    <x:col min="6" max="6" width="58" hidden="0" customWidth="1"/>
    <x:col min="7" max="7" width="55" hidden="0" customWidth="1"/>
    <x:col min="8" max="8" width="36" hidden="0" customWidth="1"/>
    <x:col min="9" max="9" width="45" hidden="0" customWidth="1"/>
    <x:col min="10" max="10" width="28" hidden="0" customWidth="1"/>
  </x:cols>
  <x:sheetData>
    <x:row r="1" ht="32" customHeight="1">
      <x:c r="A1" s="4" t="str">
        <x:v>Kịch bản chi tiết • đọc là quay được</x:v>
      </x:c>
      <x:c r="B1" s="4"/>
      <x:c r="C1" s="4"/>
      <x:c r="D1" s="4"/>
      <x:c r="E1" s="4"/>
      <x:c r="F1" s="4"/>
      <x:c r="G1" s="4"/>
      <x:c r="H1" s="4"/>
      <x:c r="I1" s="4"/>
      <x:c r="J1" s="4"/>
    </x:row>
    <x:row r="2" ht="24" customHeight="1">
      <x:c r="A2" s="7" t="str">
        <x:v>Mỗi video giữ nhịp 60–70 giây. Không cần đọc y hệt: giữ ý, nói bằng giọng của Linh.</x:v>
      </x:c>
      <x:c r="B2" s="7"/>
      <x:c r="C2" s="7"/>
      <x:c r="D2" s="7"/>
      <x:c r="E2" s="7"/>
      <x:c r="F2" s="7"/>
      <x:c r="G2" s="7"/>
      <x:c r="H2" s="7"/>
      <x:c r="I2" s="7"/>
      <x:c r="J2" s="7"/>
    </x:row>
    <x:row r="4" ht="36" customHeight="1">
      <x:c r="A4" s="24" t="str">
        <x:v>Mã</x:v>
      </x:c>
      <x:c r="B4" s="24" t="str">
        <x:v>Video</x:v>
      </x:c>
      <x:c r="C4" s="24" t="str">
        <x:v>Mục tiêu &amp; cảm xúc</x:v>
      </x:c>
      <x:c r="D4" s="24" t="str">
        <x:v>Hook 0–3 giây</x:v>
      </x:c>
      <x:c r="E4" s="24" t="str">
        <x:v>Chữ trên màn hình</x:v>
      </x:c>
      <x:c r="F4" s="24" t="str">
        <x:v>Voice-over theo nhịp</x:v>
      </x:c>
      <x:c r="G4" s="24" t="str">
        <x:v>Storyboard tóm tắt</x:v>
      </x:c>
      <x:c r="H4" s="24" t="str">
        <x:v>Âm thanh &amp; nhịp dựng</x:v>
      </x:c>
      <x:c r="I4" s="24" t="str">
        <x:v>Caption + CTA + hashtag</x:v>
      </x:c>
      <x:c r="J4" s="24" t="str">
        <x:v>Lưu ý riêng tư</x:v>
      </x:c>
    </x:row>
    <x:row r="5" ht="230" customHeight="1">
      <x:c r="A5" s="47" t="str">
        <x:v>V01</x:v>
      </x:c>
      <x:c r="B5" s="47" t="str">
        <x:v>Morning trước giờ commute</x:v>
      </x:c>
      <x:c r="C5" s="47" t="str">
        <x:v>Gần gũi từ ngày đầu; cho người xem cảm giác được bắt đầu nhẹ nhàng.</x:v>
      </x:c>
      <x:c r="D5" s="47" t="str">
        <x:v>Có sáng chuông reo là chỉ muốn xin thêm đúng 10 phút thôi.</x:v>
      </x:c>
      <x:c r="E5" s="47" t="str">
        <x:v>Sáng bận thì bắt đầu thật nhỏ</x:v>
      </x:c>
      <x:c r="F5" s="47" t="str">
        <x:v>0–3s: Có sáng chuông reo là chỉ muốn xin thêm đúng 10 phút thôi.
3–13s: Nhất là hôm nào phải đi làm sớm. Nghĩ tới quãng đường commute, coffee chưa pha, lunch chưa bỏ vào túi… là đầu chạy trước cả người.
13–24s: Hồi trước cứ bật dậy rồi làm mọi thứ cuống lên. Ra khỏi nhà đúng giờ đó, nhưng tâm trạng thì rối từ sáng.
24–39s: Giờ cứ chậm lại vài phút. Mở rèm. Uống nước. Rửa mặt. Coffee có sẵn thì đổ vào tumbler; không thì ghé mua trên đường.
39–53s: Mấy việc nghe bình thường vậy thôi, nhưng đủ để đầu óc bắt kịp cơ thể.
53–64s: Buổi sáng không cần đẹp như vlog đâu. Ra khỏi nhà mà không thấy bị ngày mới kéo lê là ổn rồi.</x:v>
      </x:c>
      <x:c r="G5" s="47" t="str">
        <x:v>0–3s tắt báo thức → 3–13s cận túi đi làm, lunch bag, chìa khóa xe → 13–24s chuẩn bị hơi vội → 24–39s mở rèm, uống nước, rót coffee vào tumbler → 39–53s mang giày/khoác áo → 53–64s ngồi trong xe khi xe đã đỗ hoặc đứng trước cửa.</x:v>
      </x:c>
      <x:c r="H5" s="47" t="str">
        <x:v>Nhạc lo-fi ấm, -20 đến -25% so với voice. Cắt cảnh 3–4 giây; phụ đề trắng/đỏ hồng, nhấn: “không hoàn hảo”, “từng chút”.</x:v>
      </x:c>
      <x:c r="I5" s="47" t="str">
        <x:v>Sáng bận thì không cần cố làm đủ một routine thật đẹp. Vài phút để người và đầu cùng tỉnh là được rồi.
#morningroutine #vietnameseinamerica #workdayvlog #dailyvlog</x:v>
      </x:c>
      <x:c r="J5" s="47" t="str">
        <x:v>Không lộ địa chỉ nhà, license plate hoặc lịch trình cụ thể. Chỉ quay trong xe khi xe đã đỗ an toàn.</x:v>
      </x:c>
    </x:row>
    <x:row r="6" ht="230" customHeight="1">
      <x:c r="A6" s="19" t="str">
        <x:v>V02</x:v>
      </x:c>
      <x:c r="B6" s="19" t="str">
        <x:v>Grocery run &amp; một bữa cơm nóng</x:v>
      </x:c>
      <x:c r="C6" s="19" t="str">
        <x:v>Cho thấy sự chăm sóc bản thân nằm trong một lựa chọn rất đời thường.</x:v>
      </x:c>
      <x:c r="D6" s="19" t="str">
        <x:v>Tan làm, ghé grocery store lúc bụng đói đúng là một bài test.</x:v>
      </x:c>
      <x:c r="E6" s="19" t="str">
        <x:v>Grocery run sau giờ làm</x:v>
      </x:c>
      <x:c r="F6" s="19" t="str">
        <x:v>0–3s: Tan làm, ghé grocery store lúc bụng đói đúng là một bài test.
3–14s: Parking lot đông, trong đầu chỉ nghĩ hay là order đại gì đó cho nhanh. Mấy ngày như vậy chắc nhiều bạn bên này cũng quen.
14–27s: Hôm nay chỉ lấy vài món thôi: ít rau, chút thịt, thêm hộp trứng. Không list dài, không nấu món gì cầu kỳ.
27–42s: Về tới nhà, rửa đồ, bật bếp lên. Nghe tiếng chảo nóng với mùi cơm mới, tự nhiên căn bếp có cảm giác giống nhà hơn.
42–56s: Bữa này chẳng đẹp để chụp hình đâu, nhưng nóng, vừa miệng và ăn xong thấy người dịu xuống.
56–67s: Có hôm chăm bản thân chỉ đơn giản là đừng để mình đi ngủ với một cái bụng đói.</x:v>
      </x:c>
      <x:c r="G6" s="19" t="str">
        <x:v>0–3s giỏ hàng trong grocery store → 3–14s parking lot khi đã đứng yên, đẩy xe → 14–27s chọn 3–4 nguyên liệu → 27–42s mang túi vào bếp, rửa/cắt/nấu → 42–56s xới cơm, bày món → 56–67s ngồi ăn tại bàn.</x:v>
      </x:c>
      <x:c r="H6" s="19" t="str">
        <x:v>Giữ tiếng chợ/bếp rất nhỏ ở vài cảnh đầu, sau đó nhạc acoustic nhẹ. Cắt theo thao tác; không tua nhanh quá mức.</x:v>
      </x:c>
      <x:c r="I6" s="19" t="str">
        <x:v>Grocery run sau giờ làm hơi mệt, nhưng một bữa cơm nóng vẫn đáng công ghé mua vài món.
#groceryrun #comviet #vietnameseinamerica #homecooking</x:v>
      </x:c>
      <x:c r="J6" s="19" t="str">
        <x:v>Tránh quay mặt khách khác, receipt, địa chỉ cửa hàng gần nhà và license plate trong parking lot.</x:v>
      </x:c>
    </x:row>
    <x:row r="7" ht="230" customHeight="1">
      <x:c r="A7" s="47" t="str">
        <x:v>V03</x:v>
      </x:c>
      <x:c r="B7" s="47" t="str">
        <x:v>Coffee break giữa một ngày bận</x:v>
      </x:c>
      <x:c r="C7" s="47" t="str">
        <x:v>Bình thường hóa việc nghỉ ngắn giữa ngày bận.</x:v>
      </x:c>
      <x:c r="D7" s="47" t="str">
        <x:v>Ngồi uống coffee 20 phút mà không làm gì, hồi trước thấy có lỗi ghê.</x:v>
      </x:c>
      <x:c r="E7" s="47" t="str">
        <x:v>20 phút không cần phải productive</x:v>
      </x:c>
      <x:c r="F7" s="47" t="str">
        <x:v>0–3s: Ngồi uống coffee 20 phút mà không làm gì, hồi trước thấy có lỗi ghê.
3–14s: Kiểu đã ra quán là phải mở laptop, trả lời email, tranh thủ làm thêm một việc. Không thì cứ thấy phí thời gian.
14–27s: Nhưng có hôm đầu đầy quá rồi. Nhìn màn hình thêm cũng chẳng giải quyết được gì, chỉ làm người mệt hơn.
27–42s: Vậy nên hôm nay cất laptop trong túi. Lấy ly coffee, ngồi cạnh cửa sổ, nhìn xe chạy ngoài đường một lúc. Hết.
42–55s: Không journaling, không đọc sách, cũng không biến giờ nghỉ thành một checklist mới.
55–64s: Hai mươi phút đó không làm công việc biến mất. Chỉ giúp quay lại mà đầu bớt ồn hơn thôi.</x:v>
      </x:c>
      <x:c r="G7" s="47" t="str">
        <x:v>0–3s đặt laptop còn đóng cạnh ly coffee → 3–14s bước vào coffee shop hoặc nhận coffee-to-go → 14–27s nhìn màn hình rồi cất máy → 27–42s ngồi cạnh cửa sổ → 42–55s cận tay cầm ly, xe ngoài đường → 55–64s đứng dậy rời quán.</x:v>
      </x:c>
      <x:c r="H7" s="47" t="str">
        <x:v>Nhạc chill tối giản; để tiếng ly chạm đĩa 1 giây. Dựng chậm hơn V01, mỗi cảnh 4–5 giây.</x:v>
      </x:c>
      <x:c r="I7" s="47" t="str">
        <x:v>Có những khoảng nghỉ không cần tạo ra thêm kết quả gì cả. Nghỉ xong thấy đầu nhẹ hơn là đủ.
#coffeebreak #worklifebalance #vietnameseinamerica #dailyvlog</x:v>
      </x:c>
      <x:c r="J7" s="47" t="str">
        <x:v>Quay bàn gần cửa sổ; tránh mặt khách khác, hóa đơn và thông tin vị trí thời gian thực.</x:v>
      </x:c>
    </x:row>
    <x:row r="8" ht="230" customHeight="1">
      <x:c r="A8" s="19" t="str">
        <x:v>V04</x:v>
      </x:c>
      <x:c r="B8" s="19" t="str">
        <x:v>Một buổi gym vừa đủ</x:v>
      </x:c>
      <x:c r="C8" s="19" t="str">
        <x:v>Tạo hình ảnh khỏe mạnh nhưng không áp lực ngoại hình.</x:v>
      </x:c>
      <x:c r="D8" s="19" t="str">
        <x:v>Hôm nay gym đúng 30 phút thôi. Và vậy là đủ.</x:v>
      </x:c>
      <x:c r="E8" s="19" t="str">
        <x:v>30 phút ở gym cũng được tính</x:v>
      </x:c>
      <x:c r="F8" s="19" t="str">
        <x:v>0–3s: Hôm nay gym đúng 30 phút thôi. Và vậy là đủ.
3–14s: Có hôm tan làm trễ, đường về đông, tới được phòng tập là đã muốn quay xe về nhà rồi.
14–27s: Hồi trước cứ nghĩ đã đi gym thì phải tập cho ra trò. Một tiếng, đủ bài, mồ hôi thật nhiều. Không làm được vậy thì thôi khỏi đi.
27–42s: Giờ đơn giản hơn. Đi bộ vài phút, tập hai bài quen, giãn cơ rồi về. Không cần buổi nào cũng phá kỷ lục.
42–55s: Quan trọng là cơ thể được rời cái ghế, vai bớt cứng, đầu cũng nhẹ hơn sau cả ngày làm việc.
55–64s: Ba mươi phút vẫn là ba mươi phút đã dành cho sức khỏe. Tính chứ, sao không.</x:v>
      </x:c>
      <x:c r="G8" s="19" t="str">
        <x:v>0–3s timer 30 phút/giày tập → 3–14s parking lot hoặc lối vào gym → 14–27s khởi động → 27–42s hai bài tập và đi bộ → 42–55s giãn vai, uống nước → 55–64s rời gym khi xe vẫn đang đỗ.</x:v>
      </x:c>
      <x:c r="H8" s="19" t="str">
        <x:v>Beat nhẹ, hơi tươi hơn các video trước; cắt 2–3 giây khi có chuyển động. Không dùng body-check hoặc chuyển cảnh khoe dáng.</x:v>
      </x:c>
      <x:c r="I8" s="19" t="str">
        <x:v>Không phải buổi tập nào cũng cần thật dài. Có mặt 30 phút vẫn tốt hơn là tự trách cả tối.
#gymroutine #afterwork #songkhoe #vietnameseinamerica</x:v>
      </x:c>
      <x:c r="J8" s="19" t="str">
        <x:v>Không quay người tập khác, locker room hoặc thẻ thành viên. Không đặt máy gây cản trở lối đi.</x:v>
      </x:c>
    </x:row>
    <x:row r="9" ht="230" customHeight="1">
      <x:c r="A9" s="47" t="str">
        <x:v>V05</x:v>
      </x:c>
      <x:c r="B9" s="47" t="str">
        <x:v>Meal prep cho những tối về muộn</x:v>
      </x:c>
      <x:c r="C9" s="47" t="str">
        <x:v>Đưa productivity vào trải nghiệm cá nhân, không phải “mẹo bắt buộc”.</x:v>
      </x:c>
      <x:c r="D9" s="47" t="str">
        <x:v>Ba mươi phút meal prep cuối tuần cứu được mấy tối về muộn thật đó.</x:v>
      </x:c>
      <x:c r="E9" s="47" t="str">
        <x:v>Meal prep vừa đủ, không cần kín tủ</x:v>
      </x:c>
      <x:c r="F9" s="47" t="str">
        <x:v>0–3s: Ba mươi phút meal prep cuối tuần cứu được mấy tối về muộn thật đó.
3–14s: Không phải kiểu làm mười hộp giống hệt nhau đâu. Nhà ăn món gì thì chuẩn bị trước phần dễ mệt nhất thôi.
14–28s: Rau rửa sẵn. Thịt chia phần. Cơm có thể nấu nhiều hơn một chút rồi cất lại. Vậy là ổn.
28–42s: Đến hôm commute lâu hoặc tan làm trễ, mở tủ lạnh ra không phải đứng nghĩ thêm câu “giờ ăn gì đây?”. Chỉ cần cho đồ lên bếp là có bữa.
42–55s: Có hôm vẫn order takeout chứ. Kế hoạch này đâu cần hoàn hảo.
55–64s: Chỉ cần tuần đó có một hai buổi tối đỡ vội hơn là ba mươi phút cuối tuần đã đáng rồi.</x:v>
      </x:c>
      <x:c r="G9" s="47" t="str">
        <x:v>0–3s mở tủ lạnh có vài hộp vừa đủ → 3–14s grocery bags trên counter → 14–28s rửa rau, chia thịt, nấu thêm cơm → 28–42s cất hộp → 42–55s xen một cảnh takeout thật → 55–64s hâm nhanh một phần ăn.</x:v>
      </x:c>
      <x:c r="H9" s="47" t="str">
        <x:v>Nhạc bếp nhẹ, tiếng thao tác ngắn. Dựng 2–4 giây/cảnh; chèn chữ “một bữa cho ngày mai cũng được”.</x:v>
      </x:c>
      <x:c r="I9" s="47" t="str">
        <x:v>Meal prep vừa đủ dùng mới dễ giữ lâu. Không cần kín cả tủ lạnh, chỉ cần vài tối bớt phải nghĩ.
#mealprep #weekendprep #vietnameseinamerica #worklifebalance</x:v>
      </x:c>
      <x:c r="J9" s="47" t="str">
        <x:v>Không quay hạn sử dụng/nhãn thuốc, hóa đơn hoặc tài liệu cá nhân trên bàn bếp.</x:v>
      </x:c>
    </x:row>
    <x:row r="10" ht="230" customHeight="1">
      <x:c r="A10" s="19" t="str">
        <x:v>V06</x:v>
      </x:c>
      <x:c r="B10" s="19" t="str">
        <x:v>Một ngày commute và công việc đều bận</x:v>
      </x:c>
      <x:c r="C10" s="19" t="str">
        <x:v>Cho phép người xem thấy một ngày thật, không tô vẽ năng suất.</x:v>
      </x:c>
      <x:c r="D10" s="19" t="str">
        <x:v>Có hôm chưa tới office mà đầu đã hết pin.</x:v>
      </x:c>
      <x:c r="E10" s="19" t="str">
        <x:v>Chưa tới office đã thấy quá tải</x:v>
      </x:c>
      <x:c r="F10" s="19" t="str">
        <x:v>0–3s: Có hôm chưa tới office mà đầu đã hết pin.
3–14s: Kẹt đường một đoạn, điện thoại báo tin nhắn, rồi nhớ ra sáng nay có meeting sớm. Người còn ở parking lot mà đầu đã chạy tới cuối ngày.
14–27s: Những lúc vậy, càng cố xử lý hết một lượt càng dễ rối. Nên trước khi bước vào, ngồi yên một phút. Tắt notification. Nhìn lại đúng một việc cần xong trước.
27–42s: Tới bàn thì làm việc đó trước, rồi mới mở phần còn lại. Không phải bí quyết năng suất gì đâu, chỉ là cách để đỡ bị cả ngày kéo đi.
42–55s: Việc vẫn nhiều, nhưng ít nhất biết mình đang đứng ở đâu.
55–64s: Có ngày làm vừa đủ rồi về nhà an toàn cũng là một ngày ổn.</x:v>
      </x:c>
      <x:c r="G10" s="19" t="str">
        <x:v>0–3s ngồi trong xe khi đã đỗ tại parking lot → 3–14s cận tay tắt notification, cầm túi → 14–27s khoanh một việc trong sổ → 27–42s bước vào office, bàn làm việc chỉ quay tay → 42–55s uống nước/đứng dậy → 55–64s rời nơi làm việc.</x:v>
      </x:c>
      <x:c r="H10" s="19" t="str">
        <x:v>Nhạc nền nhịp vừa, giảm nhạc ở câu kết. Cảnh công việc 2–3 giây, không cần quay màn hình.</x:v>
      </x:c>
      <x:c r="I10" s="19" t="str">
        <x:v>Ngày bận thì chọn một điểm để bắt đầu. Không cần ôm cả ngày vào đầu ngay từ parking lot.
#commute #workdayvlog #vietnameseinamerica #dailyvlog</x:v>
      </x:c>
      <x:c r="J10" s="19" t="str">
        <x:v>Chỉ quay trong xe khi đã đỗ. Không quay lúc lái xe; không lộ màn hình, đồng nghiệp, tên công ty hoặc lịch họp.</x:v>
      </x:c>
    </x:row>
    <x:row r="11" ht="230" customHeight="1">
      <x:c r="A11" s="47" t="str">
        <x:v>V07</x:v>
      </x:c>
      <x:c r="B11" s="47" t="str">
        <x:v>Dọn một góc nhà sau ngày dài</x:v>
      </x:c>
      <x:c r="C11" s="47" t="str">
        <x:v>Biến dọn dẹp thành một khoảnh khắc tự chăm sóc.</x:v>
      </x:c>
      <x:c r="D11" s="47" t="str">
        <x:v>Đầu rối quá thì thôi, dọn cái bàn này trước.</x:v>
      </x:c>
      <x:c r="E11" s="47" t="str">
        <x:v>Không dọn cả nhà, dọn một góc thôi</x:v>
      </x:c>
      <x:c r="F11" s="47" t="str">
        <x:v>0–3s: Đầu rối quá thì thôi, dọn cái bàn này trước.
3–14s: Có hôm về tới nhà, mail còn chưa trả lời, đồ grocery còn trên counter, nhìn đâu cũng thấy một việc đang chờ.
14–27s: Nếu cố xử lý hết chắc đứng luôn. Nên chọn đúng một góc. Cất giấy. Bỏ ly vào sink. Lau mặt bàn. Mất chừng mười phút.
27–42s: Nhà không tự nhiên sạch hết, công việc cũng chưa xong. Nhưng nhìn thấy một khoảng trống nhỏ, đầu có chỗ nghỉ theo.
42–55s: Sau đó pha trà hoặc ngồi xuống ăn chút gì. Phần còn lại để mai tính.
55–64s: Ngày dài rồi, đâu phải tối nào cũng cần reset nguyên căn nhà.</x:v>
      </x:c>
      <x:c r="G11" s="47" t="str">
        <x:v>0–3s bàn/counter hơi bừa → 3–14s túi grocery, mail và ly trên bàn → 14–27s cất ba món, bỏ ly vào sink, lau bàn → 27–42s cùng góc máy sau khi dọn → 42–55s pha trà → 55–64s ngồi xuống nghỉ.</x:v>
      </x:c>
      <x:c r="H11" s="47" t="str">
        <x:v>Nhạc lo-fi có tiếng lau bàn/bút đặt xuống. Dựng trước–sau rõ ràng, không cần tua quá nhanh.</x:v>
      </x:c>
      <x:c r="I11" s="47" t="str">
        <x:v>Không dọn cả nhà. Chỉ trả lại một khoảng trống để tối nay dễ thở hơn thôi.
#homereset #apartmentlife #vietnameseinamerica #afterwork</x:v>
      </x:c>
      <x:c r="J11" s="47" t="str">
        <x:v>Cất giấy tờ có tên, địa chỉ, sao kê và ảnh riêng tư trước khi quay.</x:v>
      </x:c>
    </x:row>
    <x:row r="12" ht="230" customHeight="1">
      <x:c r="A12" s="19" t="str">
        <x:v>V08</x:v>
      </x:c>
      <x:c r="B12" s="19" t="str">
        <x:v>Log off rồi nhưng to-do list vẫn còn</x:v>
      </x:c>
      <x:c r="C12" s="19" t="str">
        <x:v>Thể hiện chiều sâu và sự tử tế với bản thân sau ngày chưa như ý.</x:v>
      </x:c>
      <x:c r="D12" s="19" t="str">
        <x:v>Log off rồi mà to-do list vẫn còn nguyên. Quen không?</x:v>
      </x:c>
      <x:c r="E12" s="19" t="str">
        <x:v>Không xong hết việc vẫn được log off</x:v>
      </x:c>
      <x:c r="F12" s="19" t="str">
        <x:v>0–3s: Log off rồi mà to-do list vẫn còn nguyên. Quen không?
3–14s: Có ngày meeting nối meeting, việc thật sự cần làm tới chiều mới được đụng vào. Đến giờ về nhìn danh sách vẫn còn dài.
14–27s: Hồi trước hay ngồi thêm, kiểu cố xong một chút nữa thôi. Nhưng “một chút” thường thành cả tiếng, rồi bữa tối cũng muộn theo.
27–42s: Hôm nay chọn việc gấp nhất, ghi lại dòng đầu tiên cho sáng mai, rồi đóng máy. Phần chưa xong vẫn ở đó, không cần mang hết về nhà trong đầu.
42–55s: Có trách nhiệm không có nghĩa là phải sẵn sàng 24/7.
55–64s: Đến giờ nghỉ thì nghỉ. Mai tỉnh táo làm tiếp còn nhanh hơn.</x:v>
      </x:c>
      <x:c r="G12" s="19" t="str">
        <x:v>0–3s đóng laptop → 3–14s lịch meeting mờ/không lộ nội dung → 14–27s đồng hồ cuối ngày, tay vẫn gõ → 27–42s ghi dòng đầu cho ngày mai, log off → 42–55s mang túi rời bàn → 55–64s đi bộ hoặc về tới nhà.</x:v>
      </x:c>
      <x:c r="H12" s="19" t="str">
        <x:v>Giữ nhịp trầm hơn, nhạc piano tối giản. Cắt 4 giây/cảnh và để 0,5 giây im trước câu kết.</x:v>
      </x:c>
      <x:c r="I12" s="19" t="str">
        <x:v>Việc chưa xong không có nghĩa là phải mang nguyên ngày làm việc về nhà. Log off rồi thì cho đầu được log off theo.
#worklifebalance #logoff #vietnameseinamerica #workdayvlog</x:v>
      </x:c>
      <x:c r="J12" s="19" t="str">
        <x:v>Không đưa chi tiết công việc gây nhạy cảm hoặc câu chuyện của người khác vào video.</x:v>
      </x:c>
    </x:row>
    <x:row r="13" ht="230" customHeight="1">
      <x:c r="A13" s="47" t="str">
        <x:v>V09</x:v>
      </x:c>
      <x:c r="B13" s="47" t="str">
        <x:v>Buổi tối không self-improvement</x:v>
      </x:c>
      <x:c r="C13" s="47" t="str">
        <x:v>Tạo ritual buổi tối có tính chữa lành nhưng không sáo rỗng.</x:v>
      </x:c>
      <x:c r="D13" s="47" t="str">
        <x:v>Tối nay không self-improvement gì hết.</x:v>
      </x:c>
      <x:c r="E13" s="47" t="str">
        <x:v>Tối nay chỉ nghỉ thôi</x:v>
      </x:c>
      <x:c r="F13" s="47" t="str">
        <x:v>0–3s: Tối nay không self-improvement gì hết.
3–14s: Không lớp online, không mở thêm podcast, cũng không cố tranh thủ làm nốt việc ban ngày. Về tới nhà là người hết pin rồi.
14–27s: Có thời gian tối nào cũng cố nhét thêm một thứ “có ích”. Xong tới lúc nằm xuống, đầu vẫn chạy như đang ở office.
27–42s: Giờ thì tắm nước ấm, ăn chút gì, skincare nhanh rồi để điện thoại qua một bên. Nếu còn sức thì xem một tập phim. Không thì đi ngủ sớm.
42–55s: Chẳng có bài học lớn nào ở đây hết. Cơ thể mệt thì cho nó nghỉ.
55–64s: Tối nay yên một chút cũng được. Ngày mai rồi tính tiếp.</x:v>
      </x:c>
      <x:c r="G13" s="47" t="str">
        <x:v>0–3s đóng laptop/đặt điện thoại úp xuống → 3–14s về nhà, tháo giày, đặt túi → 14–27s ánh đèn office chuyển sang đèn nhà → 27–42s tắm/skincare/ăn nhẹ → 42–55s xem TV hoặc kéo chăn → 55–64s tắt đèn.</x:v>
      </x:c>
      <x:c r="H13" s="47" t="str">
        <x:v>Nhạc tối dịu, fade nhẹ; cảnh 3–5 giây. Phụ đề ít chữ, ánh sáng ấm.</x:v>
      </x:c>
      <x:c r="I13" s="47" t="str">
        <x:v>Không phải buổi tối nào cũng cần học thêm hay làm thêm. Có hôm nghỉ đúng nghĩa mới là việc cần làm.
#nightroutine #afterwork #vietnameseinamerica #selfcare</x:v>
      </x:c>
      <x:c r="J13" s="47" t="str">
        <x:v>Không quay phòng ngủ quá riêng tư, địa chỉ qua cửa sổ hoặc thông báo trên điện thoại.</x:v>
      </x:c>
    </x:row>
    <x:row r="14" ht="230" customHeight="1">
      <x:c r="A14" s="19" t="str">
        <x:v>V10</x:v>
      </x:c>
      <x:c r="B14" s="19" t="str">
        <x:v>Weekend errands và một khoảng thở</x:v>
      </x:c>
      <x:c r="C14" s="19" t="str">
        <x:v>Mở rộng lifestyle ngoài nhà và tạo cảm giác đồng hành.</x:v>
      </x:c>
      <x:c r="D14" s="19" t="str">
        <x:v>Cuối tuần bên này không để ý là hết veo trong laundry với errands.</x:v>
      </x:c>
      <x:c r="E14" s="19" t="str">
        <x:v>Weekend không chỉ có errands</x:v>
      </x:c>
      <x:c r="F14" s="19" t="str">
        <x:v>0–3s: Cuối tuần bên này không để ý là hết veo trong laundry với errands.
3–14s: Grocery run, đổ xăng, giặt đồ, dọn nhà… quay qua quay lại đã chiều Chủ Nhật. Có nghỉ mà cảm giác chưa hề nghỉ.
14–27s: Nên dạo này cố chừa ra một khoảng trống nhỏ, không xếp việc gì vào. Có thể cầm coffee đi bộ quanh khu nhà, ra park ngồi, hoặc lái xe tới chỗ có chút cây xanh.
27–42s: Không cần thành một chuyến đi chơi. Chỉ cần không cầm shopping list, không nhìn đồng hồ liên tục.
42–55s: Một tiếng như vậy làm cuối tuần có cảm giác là cuối tuần hơn.
55–64s: Còn các bạn, giữa đống errands thường giữ lại khoảng nghỉ bằng cách nào?</x:v>
      </x:c>
      <x:c r="G14" s="19" t="str">
        <x:v>0–3s laundry basket và shopping list → 3–14s grocery bags, cây xăng chỉ quay khi xe đã đỗ, máy giặt → 14–27s cầm coffee đi bộ → 27–42s park/cây xanh → 42–55s ngồi yên → 55–64s nói camera.</x:v>
      </x:c>
      <x:c r="H14" s="19" t="str">
        <x:v>Nhạc tươi, nhẹ; 2–4 giây/cảnh có chuyển động. Giữ một cảnh cây/đường 5 giây để video thở.</x:v>
      </x:c>
      <x:c r="I14" s="19" t="str">
        <x:v>Errands vẫn phải làm, nhưng cuối tuần cũng nên có một khoảng không phục vụ việc gì cả. Các bạn thường giữ lại khoảng đó thế nào?
#weekendvlog #errands #vietnameseinamerica #slowweekend</x:v>
      </x:c>
      <x:c r="J14" s="19" t="str">
        <x:v>Không quay lúc lái xe hoặc khi đang bơm xăng; chỉ quay khi đã ở vị trí an toàn. Tránh license plate và mặt người lạ.</x:v>
      </x:c>
    </x:row>
    <x:row r="15" ht="230" customHeight="1">
      <x:c r="A15" s="47" t="str">
        <x:v>V11</x:v>
      </x:c>
      <x:c r="B15" s="47" t="str">
        <x:v>Một bữa cơm Việt giữa tuần</x:v>
      </x:c>
      <x:c r="C15" s="47" t="str">
        <x:v>Củng cố hình ảnh Linh chăm mình qua những điều bình dị.</x:v>
      </x:c>
      <x:c r="D15" s="47" t="str">
        <x:v>Một bữa cơm Việt giữa tuần làm căn nhà tự nhiên có cảm giác khác hẳn.</x:v>
      </x:c>
      <x:c r="E15" s="47" t="str">
        <x:v>Giữa tuần, nấu một món có vị nhà</x:v>
      </x:c>
      <x:c r="F15" s="47" t="str">
        <x:v>0–3s: Một bữa cơm Việt giữa tuần làm căn nhà tự nhiên có cảm giác khác hẳn.
3–14s: Cả ngày nói tiếng Anh, ăn trưa vội, tới tối nhiều khi chỉ muốn hâm gì đó cho xong. Cũng bình thường thôi.
14–28s: Nhưng hôm nay thèm một món có vị nhà. Ghé grocery store lấy ít rau, miếng cá với mấy thứ gia vị quen. Không bày biện gì nhiều.
28–42s: Bếp nóng lên, mùi hành tỏi lan ra, nghe nồi cơm bật một tiếng… tự nhiên ngày dài dịu xuống.
42–56s: Có những món ăn không chỉ để no. Nó nhắc rằng dù đang sống xa, những điều quen thuộc vẫn nằm ngay trong căn bếp này.
56–67s: Tối nay ăn chậm một chút. Coi như tự mời bản thân về nhà.</x:v>
      </x:c>
      <x:c r="G15" s="47" t="str">
        <x:v>0–3s mở nắp nồi cơm/món Việt hoàn thành → 3–14s lunch box hoặc bữa trưa vội → 14–28s lấy nguyên liệu Việt trong grocery store → 28–42s phi hành tỏi, nấu món, nồi cơm bật → 42–56s dọn bàn → 56–67s ăn chậm một miếng.</x:v>
      </x:c>
      <x:c r="H15" s="47" t="str">
        <x:v>Nhạc acoustic ấm, tiếng bếp nhỏ. Cảnh thức ăn đẹp nhưng không quay quá “food commercial”; giữ cảm giác thật.</x:v>
      </x:c>
      <x:c r="I15" s="47" t="str">
        <x:v>Có những hôm chỉ cần mùi một món quen trong bếp là cả ngày dài bỗng nhẹ đi.
#comviet #vietnameseinamerica #homecooking #weeknightdinner</x:v>
      </x:c>
      <x:c r="J15" s="47" t="str">
        <x:v>Không quay mặt khách khác, receipt, thông tin thanh toán hoặc địa chỉ grocery store gần nhà.</x:v>
      </x:c>
    </x:row>
    <x:row r="16" ht="230" customHeight="1">
      <x:c r="A16" s="19" t="str">
        <x:v>V12</x:v>
      </x:c>
      <x:c r="B16" s="19" t="str">
        <x:v>Một tháng sống đều hơn, không cần hoàn hảo</x:v>
      </x:c>
      <x:c r="C16" s="19" t="str">
        <x:v>Khép lại tháng đầu bằng lời chia sẻ thật, mời người xem đi tiếp.</x:v>
      </x:c>
      <x:c r="D16" s="19" t="str">
        <x:v>Tháng này không viral, nhưng có một điều rất đáng giữ.</x:v>
      </x:c>
      <x:c r="E16" s="19" t="str">
        <x:v>Không viral vẫn là một tháng đáng giữ</x:v>
      </x:c>
      <x:c r="F16" s="19" t="str">
        <x:v>0–3s: Tháng này không viral, nhưng có một điều rất đáng giữ.
3–14s: Có tuần đăng đủ ba video. Có tuần quay xong rồi để đó vì công việc bận, commute lâu, về nhà chỉ muốn nghỉ.
14–27s: Nếu là trước đây chắc đã nghĩ thôi, làm không đều thì dừng luôn cho rồi.
27–42s: Nhưng lần này không vậy. Trễ thì đăng trễ. Nói chưa tự nhiên thì quay lại. Một video ít view vẫn cứ xem như một lần tập xuất hiện.
42–55s: Nhìn lại mới thấy, điều thay đổi không phải con số. Là cảm giác bớt ngại camera và bớt đòi mọi thứ phải hoàn hảo ngay từ đầu.
55–64s: Cảm ơn các bạn đã đi cùng tháng đầu tiên. Tháng sau cứ tiếp tục, từ từ thôi.</x:v>
      </x:c>
      <x:c r="G16" s="19" t="str">
        <x:v>0–3s montage video trong tháng → 3–14s lịch đăng có tuần đủ/tuần trễ → 14–27s clip nháp chưa đăng → 27–42s Linh đặt máy quay lại → 42–55s xem vài clip cũ → 55–64s nói camera tại bàn trà.</x:v>
      </x:c>
      <x:c r="H16" s="19" t="str">
        <x:v>Dùng cùng một nhạc nền ấm của V01 để tạo cảm giác vòng tròn. Montage đầu 1–2 giây/cảnh, phần nói camera 4–5 giây/cảnh.</x:v>
      </x:c>
      <x:c r="I16" s="19" t="str">
        <x:v>Không viral vẫn có thể là một tháng rất đáng giữ. Vì ít nhất đã bắt đầu, đã xuất hiện và đã bớt sợ hơn một chút.
#monthlyreset #contentjourney #vietnameseinamerica #dailyvlog</x:v>
      </x:c>
      <x:c r="J16" s="19" t="str">
        <x:v>Không hiển thị ảnh cũ/tin nhắn/camera roll có người khác mà chưa xin phép.</x:v>
      </x:c>
    </x:row>
  </x:sheetData>
  <x:mergeCells>
    <x:mergeCell ref="A1:J1"/>
    <x:mergeCell ref="A2:J2"/>
  </x:mergeCells>
  <x:pageMargins left="0.7" right="0.7" top="0.75" bottom="0.75" header="0.3" footer="0.3"/>
  <x:tableParts count="1">
    <x:tablePart xmlns:r="http://schemas.openxmlformats.org/officeDocument/2006/relationships" r:id="Rd9809cb24aaf467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8" hidden="0" customWidth="1"/>
    <x:col min="2" max="2" width="13" hidden="0" customWidth="1"/>
    <x:col min="3" max="3" width="25" hidden="0" customWidth="1"/>
    <x:col min="4" max="4" width="20" hidden="0" customWidth="1"/>
    <x:col min="5" max="5" width="25" hidden="0" customWidth="1"/>
    <x:col min="6" max="6" width="35" hidden="0" customWidth="1"/>
    <x:col min="7" max="7" width="28" hidden="0" customWidth="1"/>
    <x:col min="8" max="8" width="10" hidden="0" customWidth="1"/>
    <x:col min="9" max="9" width="28" hidden="0" customWidth="1"/>
    <x:col min="10" max="10" width="10" hidden="0" customWidth="1"/>
  </x:cols>
  <x:sheetData>
    <x:row r="1" ht="32" customHeight="1">
      <x:c r="A1" s="4" t="str">
        <x:v>Cảnh quay chi tiết • quay theo từng nhịp</x:v>
      </x:c>
      <x:c r="B1" s="4"/>
      <x:c r="C1" s="4"/>
      <x:c r="D1" s="4"/>
      <x:c r="E1" s="4"/>
      <x:c r="F1" s="4"/>
      <x:c r="G1" s="4"/>
      <x:c r="H1" s="4"/>
      <x:c r="I1" s="4"/>
      <x:c r="J1" s="4"/>
    </x:row>
    <x:row r="2" ht="24" customHeight="1">
      <x:c r="A2" s="7" t="str">
        <x:v>Mỗi cảnh quay 3–5 giây. Quay dư 1 bản nếu có thể; ưu tiên ánh sáng tự nhiên và máy ổn định.</x:v>
      </x:c>
      <x:c r="B2" s="7"/>
      <x:c r="C2" s="7"/>
      <x:c r="D2" s="7"/>
      <x:c r="E2" s="7"/>
      <x:c r="F2" s="7"/>
      <x:c r="G2" s="7"/>
      <x:c r="H2" s="7"/>
      <x:c r="I2" s="7"/>
      <x:c r="J2" s="7"/>
    </x:row>
    <x:row r="4" ht="32" customHeight="1">
      <x:c r="A4" s="24" t="str">
        <x:v>Mã</x:v>
      </x:c>
      <x:c r="B4" s="24" t="str">
        <x:v>Mốc thời gian</x:v>
      </x:c>
      <x:c r="C4" s="24" t="str">
        <x:v>Cảnh cần quay</x:v>
      </x:c>
      <x:c r="D4" s="24" t="str">
        <x:v>Bối cảnh</x:v>
      </x:c>
      <x:c r="E4" s="24" t="str">
        <x:v>Góc máy</x:v>
      </x:c>
      <x:c r="F4" s="24" t="str">
        <x:v>Hành động cụ thể</x:v>
      </x:c>
      <x:c r="G4" s="24" t="str">
        <x:v>Lời/âm thanh tại cảnh</x:v>
      </x:c>
      <x:c r="H4" s="24" t="str">
        <x:v>Thời lượng</x:v>
      </x:c>
      <x:c r="I4" s="24" t="str">
        <x:v>Dựng &amp; phụ đề</x:v>
      </x:c>
      <x:c r="J4" s="24" t="str">
        <x:v>Check</x:v>
      </x:c>
    </x:row>
    <x:row r="5" ht="44" customHeight="1">
      <x:c r="A5" s="47" t="str">
        <x:v>V01</x:v>
      </x:c>
      <x:c r="B5" s="47" t="str">
        <x:v>0–3s</x:v>
      </x:c>
      <x:c r="C5" s="47" t="str">
        <x:v>Linh đứng cạnh cửa sổ</x:v>
      </x:c>
      <x:c r="D5" s="47" t="str">
        <x:v>Nhà</x:v>
      </x:c>
      <x:c r="E5" s="47" t="str">
        <x:v>Nửa người, ngang tầm mắt</x:v>
      </x:c>
      <x:c r="F5" s="47" t="str">
        <x:v>Nhìn ra ngoài rồi quay nhẹ về máy</x:v>
      </x:c>
      <x:c r="G5" s="47" t="str">
        <x:v>Nói thẳng hook</x:v>
      </x:c>
      <x:c r="H5" s="47" t="str">
        <x:v>3s</x:v>
      </x:c>
      <x:c r="I5" s="47" t="str">
        <x:v>Chữ hook xuất hiện ngay</x:v>
      </x:c>
      <x:c r="J5" s="47" t="str"/>
    </x:row>
    <x:row r="6" ht="44" customHeight="1">
      <x:c r="A6" s="19" t="str">
        <x:v>V01</x:v>
      </x:c>
      <x:c r="B6" s="19" t="str">
        <x:v>3–8s</x:v>
      </x:c>
      <x:c r="C6" s="19" t="str">
        <x:v>Tắt báo thức</x:v>
      </x:c>
      <x:c r="D6" s="19" t="str">
        <x:v>Giường/bàn cạnh giường</x:v>
      </x:c>
      <x:c r="E6" s="19" t="str">
        <x:v>Cận tay</x:v>
      </x:c>
      <x:c r="F6" s="19" t="str">
        <x:v>Úp điện thoại, kéo chăn gọn</x:v>
      </x:c>
      <x:c r="G6" s="19" t="str">
        <x:v>Nhạc nhẹ</x:v>
      </x:c>
      <x:c r="H6" s="19" t="str">
        <x:v>5s</x:v>
      </x:c>
      <x:c r="I6" s="19" t="str">
        <x:v>Cắt gọn, không cần tua</x:v>
      </x:c>
      <x:c r="J6" s="19" t="str"/>
    </x:row>
    <x:row r="7" ht="44" customHeight="1">
      <x:c r="A7" s="47" t="str">
        <x:v>V01</x:v>
      </x:c>
      <x:c r="B7" s="47" t="str">
        <x:v>8–13s</x:v>
      </x:c>
      <x:c r="C7" s="47" t="str">
        <x:v>Mở rèm</x:v>
      </x:c>
      <x:c r="D7" s="47" t="str">
        <x:v>Cửa sổ</x:v>
      </x:c>
      <x:c r="E7" s="47" t="str">
        <x:v>Góc sau vai</x:v>
      </x:c>
      <x:c r="F7" s="47" t="str">
        <x:v>Kéo rèm, để ánh sáng vào</x:v>
      </x:c>
      <x:c r="G7" s="47" t="str">
        <x:v>VO câu 2</x:v>
      </x:c>
      <x:c r="H7" s="47" t="str">
        <x:v>5s</x:v>
      </x:c>
      <x:c r="I7" s="47" t="str">
        <x:v>Giữ ánh sáng tự nhiên</x:v>
      </x:c>
      <x:c r="J7" s="47" t="str"/>
    </x:row>
    <x:row r="8" ht="44" customHeight="1">
      <x:c r="A8" s="19" t="str">
        <x:v>V01</x:v>
      </x:c>
      <x:c r="B8" s="19" t="str">
        <x:v>13–20s</x:v>
      </x:c>
      <x:c r="C8" s="19" t="str">
        <x:v>Rót nước</x:v>
      </x:c>
      <x:c r="D8" s="19" t="str">
        <x:v>Bếp</x:v>
      </x:c>
      <x:c r="E8" s="19" t="str">
        <x:v>Cận ly</x:v>
      </x:c>
      <x:c r="F8" s="19" t="str">
        <x:v>Rót nước, đặt xuống bàn</x:v>
      </x:c>
      <x:c r="G8" s="19" t="str">
        <x:v>VO câu 3</x:v>
      </x:c>
      <x:c r="H8" s="19" t="str">
        <x:v>4s</x:v>
      </x:c>
      <x:c r="I8" s="19" t="str">
        <x:v>Nhấn chữ “việc rất nhỏ”</x:v>
      </x:c>
      <x:c r="J8" s="19" t="str"/>
    </x:row>
    <x:row r="9" ht="44" customHeight="1">
      <x:c r="A9" s="47" t="str">
        <x:v>V01</x:v>
      </x:c>
      <x:c r="B9" s="47" t="str">
        <x:v>20–29s</x:v>
      </x:c>
      <x:c r="C9" s="47" t="str">
        <x:v>Pha cà phê</x:v>
      </x:c>
      <x:c r="D9" s="47" t="str">
        <x:v>Bếp</x:v>
      </x:c>
      <x:c r="E9" s="47" t="str">
        <x:v>Cận thao tác</x:v>
      </x:c>
      <x:c r="F9" s="47" t="str">
        <x:v>Múc/bấm máy/rót cà phê</x:v>
      </x:c>
      <x:c r="G9" s="47" t="str">
        <x:v>VO câu 3</x:v>
      </x:c>
      <x:c r="H9" s="47" t="str">
        <x:v>5s</x:v>
      </x:c>
      <x:c r="I9" s="47" t="str">
        <x:v>Giữ tiếng rót 0,5s</x:v>
      </x:c>
      <x:c r="J9" s="47" t="str"/>
    </x:row>
    <x:row r="10" ht="44" customHeight="1">
      <x:c r="A10" s="19" t="str">
        <x:v>V01</x:v>
      </x:c>
      <x:c r="B10" s="19" t="str">
        <x:v>29–42s</x:v>
      </x:c>
      <x:c r="C10" s="19" t="str">
        <x:v>Chuẩn bị lunch bag và đồ đi làm</x:v>
      </x:c>
      <x:c r="D10" s="19" t="str">
        <x:v>Bàn/counter</x:v>
      </x:c>
      <x:c r="E10" s="19" t="str">
        <x:v>Cận đồ vật</x:v>
      </x:c>
      <x:c r="F10" s="19" t="str">
        <x:v>Xếp lunch bag, tumbler, chìa khóa</x:v>
      </x:c>
      <x:c r="G10" s="19" t="str">
        <x:v>VO câu 4</x:v>
      </x:c>
      <x:c r="H10" s="19" t="str">
        <x:v>5s</x:v>
      </x:c>
      <x:c r="I10" s="19" t="str">
        <x:v>3 cảnh cắt nhanh 2s</x:v>
      </x:c>
      <x:c r="J10" s="19" t="str"/>
    </x:row>
    <x:row r="11" ht="44" customHeight="1">
      <x:c r="A11" s="47" t="str">
        <x:v>V01</x:v>
      </x:c>
      <x:c r="B11" s="47" t="str">
        <x:v>42–55s</x:v>
      </x:c>
      <x:c r="C11" s="47" t="str">
        <x:v>Linh nhìn camera</x:v>
      </x:c>
      <x:c r="D11" s="47" t="str">
        <x:v>Gần cửa sổ</x:v>
      </x:c>
      <x:c r="E11" s="47" t="str">
        <x:v>Nửa người</x:v>
      </x:c>
      <x:c r="F11" s="47" t="str">
        <x:v>Mỉm cười, hỏi câu CTA</x:v>
      </x:c>
      <x:c r="G11" s="47" t="str">
        <x:v>Nói câu kết</x:v>
      </x:c>
      <x:c r="H11" s="47" t="str">
        <x:v>5s</x:v>
      </x:c>
      <x:c r="I11" s="47" t="str">
        <x:v>Chữ CTA cuối video</x:v>
      </x:c>
      <x:c r="J11" s="47" t="str"/>
    </x:row>
    <x:row r="12" ht="44" customHeight="1">
      <x:c r="A12" s="19" t="str">
        <x:v>V01</x:v>
      </x:c>
      <x:c r="B12" s="19" t="str">
        <x:v>55–63s</x:v>
      </x:c>
      <x:c r="C12" s="19" t="str">
        <x:v>Khoảnh khắc kết</x:v>
      </x:c>
      <x:c r="D12" s="19" t="str">
        <x:v>Gần cửa sổ</x:v>
      </x:c>
      <x:c r="E12" s="19" t="str">
        <x:v>Nửa người</x:v>
      </x:c>
      <x:c r="F12" s="19" t="str">
        <x:v>Nhìn camera, mỉm cười rồi cầm ly nước</x:v>
      </x:c>
      <x:c r="G12" s="19" t="str">
        <x:v>VO câu chốt</x:v>
      </x:c>
      <x:c r="H12" s="19" t="str">
        <x:v>5s</x:v>
      </x:c>
      <x:c r="I12" s="19" t="str">
        <x:v>Giữ một nhịp thở, fade out</x:v>
      </x:c>
      <x:c r="J12" s="19" t="str"/>
    </x:row>
    <x:row r="13" ht="44" customHeight="1">
      <x:c r="A13" s="47" t="str">
        <x:v>V02</x:v>
      </x:c>
      <x:c r="B13" s="47" t="str">
        <x:v>0–3s</x:v>
      </x:c>
      <x:c r="C13" s="47" t="str">
        <x:v>Món ăn hoàn chỉnh</x:v>
      </x:c>
      <x:c r="D13" s="47" t="str">
        <x:v>Bếp</x:v>
      </x:c>
      <x:c r="E13" s="47" t="str">
        <x:v>Cận từ trên xuống</x:v>
      </x:c>
      <x:c r="F13" s="47" t="str">
        <x:v>Đặt bát/đĩa lên bàn</x:v>
      </x:c>
      <x:c r="G13" s="47" t="str">
        <x:v>Nói hook</x:v>
      </x:c>
      <x:c r="H13" s="47" t="str">
        <x:v>3s</x:v>
      </x:c>
      <x:c r="I13" s="47" t="str">
        <x:v>Mở bằng màu món ăn</x:v>
      </x:c>
      <x:c r="J13" s="47" t="str"/>
    </x:row>
    <x:row r="14" ht="44" customHeight="1">
      <x:c r="A14" s="19" t="str">
        <x:v>V02</x:v>
      </x:c>
      <x:c r="B14" s="19" t="str">
        <x:v>3–9s</x:v>
      </x:c>
      <x:c r="C14" s="19" t="str">
        <x:v>Đẩy cart và chọn rau</x:v>
      </x:c>
      <x:c r="D14" s="19" t="str">
        <x:v>Grocery store</x:v>
      </x:c>
      <x:c r="E14" s="19" t="str">
        <x:v>Cận tay</x:v>
      </x:c>
      <x:c r="F14" s="19" t="str">
        <x:v>Cầm rau, bỏ vào giỏ</x:v>
      </x:c>
      <x:c r="G14" s="19" t="str">
        <x:v>VO câu 2</x:v>
      </x:c>
      <x:c r="H14" s="19" t="str">
        <x:v>4s</x:v>
      </x:c>
      <x:c r="I14" s="19" t="str">
        <x:v>Tránh mặt người lạ</x:v>
      </x:c>
      <x:c r="J14" s="19" t="str"/>
    </x:row>
    <x:row r="15" ht="44" customHeight="1">
      <x:c r="A15" s="47" t="str">
        <x:v>V02</x:v>
      </x:c>
      <x:c r="B15" s="47" t="str">
        <x:v>9–14s</x:v>
      </x:c>
      <x:c r="C15" s="47" t="str">
        <x:v>Đi qua quầy nguyên liệu</x:v>
      </x:c>
      <x:c r="D15" s="47" t="str">
        <x:v>Grocery store</x:v>
      </x:c>
      <x:c r="E15" s="47" t="str">
        <x:v>Góc sau vai</x:v>
      </x:c>
      <x:c r="F15" s="47" t="str">
        <x:v>Đẩy giỏ/đi chậm</x:v>
      </x:c>
      <x:c r="G15" s="47" t="str">
        <x:v>VO câu 2</x:v>
      </x:c>
      <x:c r="H15" s="47" t="str">
        <x:v>4s</x:v>
      </x:c>
      <x:c r="I15" s="47" t="str">
        <x:v>Máy ngang ngực</x:v>
      </x:c>
      <x:c r="J15" s="47" t="str"/>
    </x:row>
    <x:row r="16" ht="44" customHeight="1">
      <x:c r="A16" s="19" t="str">
        <x:v>V02</x:v>
      </x:c>
      <x:c r="B16" s="19" t="str">
        <x:v>14–22s</x:v>
      </x:c>
      <x:c r="C16" s="19" t="str">
        <x:v>Rửa rau</x:v>
      </x:c>
      <x:c r="D16" s="19" t="str">
        <x:v>Bếp</x:v>
      </x:c>
      <x:c r="E16" s="19" t="str">
        <x:v>Cận tay</x:v>
      </x:c>
      <x:c r="F16" s="19" t="str">
        <x:v>Rửa dưới vòi nước</x:v>
      </x:c>
      <x:c r="G16" s="19" t="str">
        <x:v>VO câu 3</x:v>
      </x:c>
      <x:c r="H16" s="19" t="str">
        <x:v>5s</x:v>
      </x:c>
      <x:c r="I16" s="19" t="str">
        <x:v>Giữ tiếng nước 0,5s</x:v>
      </x:c>
      <x:c r="J16" s="19" t="str"/>
    </x:row>
    <x:row r="17" ht="44" customHeight="1">
      <x:c r="A17" s="47" t="str">
        <x:v>V02</x:v>
      </x:c>
      <x:c r="B17" s="47" t="str">
        <x:v>22–31s</x:v>
      </x:c>
      <x:c r="C17" s="47" t="str">
        <x:v>Cắt nguyên liệu</x:v>
      </x:c>
      <x:c r="D17" s="47" t="str">
        <x:v>Bếp</x:v>
      </x:c>
      <x:c r="E17" s="47" t="str">
        <x:v>Góc top-down</x:v>
      </x:c>
      <x:c r="F17" s="47" t="str">
        <x:v>Cắt chậm, gọn</x:v>
      </x:c>
      <x:c r="G17" s="47" t="str">
        <x:v>VO câu 3</x:v>
      </x:c>
      <x:c r="H17" s="47" t="str">
        <x:v>5s</x:v>
      </x:c>
      <x:c r="I17" s="47" t="str">
        <x:v>Cắt theo thao tác</x:v>
      </x:c>
      <x:c r="J17" s="47" t="str"/>
    </x:row>
    <x:row r="18" ht="44" customHeight="1">
      <x:c r="A18" s="19" t="str">
        <x:v>V02</x:v>
      </x:c>
      <x:c r="B18" s="19" t="str">
        <x:v>31–44s</x:v>
      </x:c>
      <x:c r="C18" s="19" t="str">
        <x:v>Nấu món ăn</x:v>
      </x:c>
      <x:c r="D18" s="19" t="str">
        <x:v>Bếp</x:v>
      </x:c>
      <x:c r="E18" s="19" t="str">
        <x:v>Cận chảo/nồi</x:v>
      </x:c>
      <x:c r="F18" s="19" t="str">
        <x:v>Đảo nhẹ, nêm gia vị</x:v>
      </x:c>
      <x:c r="G18" s="19" t="str">
        <x:v>VO câu 4</x:v>
      </x:c>
      <x:c r="H18" s="19" t="str">
        <x:v>5s</x:v>
      </x:c>
      <x:c r="I18" s="19" t="str">
        <x:v>Không quay logo nhãn hàng</x:v>
      </x:c>
      <x:c r="J18" s="19" t="str"/>
    </x:row>
    <x:row r="19" ht="44" customHeight="1">
      <x:c r="A19" s="47" t="str">
        <x:v>V02</x:v>
      </x:c>
      <x:c r="B19" s="47" t="str">
        <x:v>44–60s</x:v>
      </x:c>
      <x:c r="C19" s="47" t="str">
        <x:v>Dọn bàn và ăn</x:v>
      </x:c>
      <x:c r="D19" s="47" t="str">
        <x:v>Bàn ăn</x:v>
      </x:c>
      <x:c r="E19" s="47" t="str">
        <x:v>Góc 45 độ</x:v>
      </x:c>
      <x:c r="F19" s="47" t="str">
        <x:v>Đặt đĩa, Linh ngồi ăn</x:v>
      </x:c>
      <x:c r="G19" s="47" t="str">
        <x:v>VO câu 5 + CTA</x:v>
      </x:c>
      <x:c r="H19" s="47" t="str">
        <x:v>5s</x:v>
      </x:c>
      <x:c r="I19" s="47" t="str">
        <x:v>Kết bằng góc ấm</x:v>
      </x:c>
      <x:c r="J19" s="47" t="str"/>
    </x:row>
    <x:row r="20" ht="44" customHeight="1">
      <x:c r="A20" s="19" t="str">
        <x:v>V02</x:v>
      </x:c>
      <x:c r="B20" s="19" t="str">
        <x:v>60–67s</x:v>
      </x:c>
      <x:c r="C20" s="19" t="str">
        <x:v>Bữa ăn sau khi nấu</x:v>
      </x:c>
      <x:c r="D20" s="19" t="str">
        <x:v>Bàn ăn</x:v>
      </x:c>
      <x:c r="E20" s="19" t="str">
        <x:v>Cận góc 45 độ</x:v>
      </x:c>
      <x:c r="F20" s="19" t="str">
        <x:v>Đặt đũa xuống, nhìn bữa ăn</x:v>
      </x:c>
      <x:c r="G20" s="19" t="str">
        <x:v>VO câu chốt</x:v>
      </x:c>
      <x:c r="H20" s="19" t="str">
        <x:v>5s</x:v>
      </x:c>
      <x:c r="I20" s="19" t="str">
        <x:v>Giữ ánh sáng ấm, không cần CTA chữ</x:v>
      </x:c>
      <x:c r="J20" s="19" t="str"/>
    </x:row>
    <x:row r="21" ht="44" customHeight="1">
      <x:c r="A21" s="47" t="str">
        <x:v>V03</x:v>
      </x:c>
      <x:c r="B21" s="47" t="str">
        <x:v>0–3s</x:v>
      </x:c>
      <x:c r="C21" s="47" t="str">
        <x:v>Linh đặt điện thoại xuống bàn</x:v>
      </x:c>
      <x:c r="D21" s="47" t="str">
        <x:v>Coffee shop</x:v>
      </x:c>
      <x:c r="E21" s="47" t="str">
        <x:v>Cận bàn tay</x:v>
      </x:c>
      <x:c r="F21" s="47" t="str">
        <x:v>Úp điện thoại cạnh ly</x:v>
      </x:c>
      <x:c r="G21" s="47" t="str">
        <x:v>Nói hook</x:v>
      </x:c>
      <x:c r="H21" s="47" t="str">
        <x:v>3s</x:v>
      </x:c>
      <x:c r="I21" s="47" t="str">
        <x:v>Chữ “20 phút không lãng phí”</x:v>
      </x:c>
      <x:c r="J21" s="47" t="str"/>
    </x:row>
    <x:row r="22" ht="44" customHeight="1">
      <x:c r="A22" s="19" t="str">
        <x:v>V03</x:v>
      </x:c>
      <x:c r="B22" s="19" t="str">
        <x:v>3–8s</x:v>
      </x:c>
      <x:c r="C22" s="19" t="str">
        <x:v>Bước vào quán</x:v>
      </x:c>
      <x:c r="D22" s="19" t="str">
        <x:v>Lối vào quán</x:v>
      </x:c>
      <x:c r="E22" s="19" t="str">
        <x:v>Góc sau lưng</x:v>
      </x:c>
      <x:c r="F22" s="19" t="str">
        <x:v>Đẩy cửa/bước vào</x:v>
      </x:c>
      <x:c r="G22" s="19" t="str">
        <x:v>VO câu 2</x:v>
      </x:c>
      <x:c r="H22" s="19" t="str">
        <x:v>4s</x:v>
      </x:c>
      <x:c r="I22" s="19" t="str">
        <x:v>Không lộ biển tên quán nếu không cần</x:v>
      </x:c>
      <x:c r="J22" s="19" t="str"/>
    </x:row>
    <x:row r="23" ht="44" customHeight="1">
      <x:c r="A23" s="47" t="str">
        <x:v>V03</x:v>
      </x:c>
      <x:c r="B23" s="47" t="str">
        <x:v>8–13s</x:v>
      </x:c>
      <x:c r="C23" s="47" t="str">
        <x:v>Gọi đồ uống</x:v>
      </x:c>
      <x:c r="D23" s="47" t="str">
        <x:v>Quầy</x:v>
      </x:c>
      <x:c r="E23" s="47" t="str">
        <x:v>Cận tay</x:v>
      </x:c>
      <x:c r="F23" s="47" t="str">
        <x:v>Nhận ly nước</x:v>
      </x:c>
      <x:c r="G23" s="47" t="str">
        <x:v>VO câu 2</x:v>
      </x:c>
      <x:c r="H23" s="47" t="str">
        <x:v>4s</x:v>
      </x:c>
      <x:c r="I23" s="47" t="str">
        <x:v>Tránh mặt nhân viên</x:v>
      </x:c>
      <x:c r="J23" s="47" t="str"/>
    </x:row>
    <x:row r="24" ht="44" customHeight="1">
      <x:c r="A24" s="19" t="str">
        <x:v>V03</x:v>
      </x:c>
      <x:c r="B24" s="19" t="str">
        <x:v>13–22s</x:v>
      </x:c>
      <x:c r="C24" s="19" t="str">
        <x:v>Đặt ly cạnh cửa sổ</x:v>
      </x:c>
      <x:c r="D24" s="19" t="str">
        <x:v>Bàn cửa sổ</x:v>
      </x:c>
      <x:c r="E24" s="19" t="str">
        <x:v>Cận ly</x:v>
      </x:c>
      <x:c r="F24" s="19" t="str">
        <x:v>Chạm nhẹ vào ly</x:v>
      </x:c>
      <x:c r="G24" s="19" t="str">
        <x:v>VO câu 3</x:v>
      </x:c>
      <x:c r="H24" s="19" t="str">
        <x:v>5s</x:v>
      </x:c>
      <x:c r="I24" s="19" t="str">
        <x:v>Giữ tiếng ly 0,5s</x:v>
      </x:c>
      <x:c r="J24" s="19" t="str"/>
    </x:row>
    <x:row r="25" ht="44" customHeight="1">
      <x:c r="A25" s="47" t="str">
        <x:v>V03</x:v>
      </x:c>
      <x:c r="B25" s="47" t="str">
        <x:v>22–31s</x:v>
      </x:c>
      <x:c r="C25" s="47" t="str">
        <x:v>Nhìn ra ngoài</x:v>
      </x:c>
      <x:c r="D25" s="47" t="str">
        <x:v>Bàn cửa sổ</x:v>
      </x:c>
      <x:c r="E25" s="47" t="str">
        <x:v>Nửa người nghiêng</x:v>
      </x:c>
      <x:c r="F25" s="47" t="str">
        <x:v>Ngồi yên, nhìn đường</x:v>
      </x:c>
      <x:c r="G25" s="47" t="str">
        <x:v>VO câu 4</x:v>
      </x:c>
      <x:c r="H25" s="47" t="str">
        <x:v>5s</x:v>
      </x:c>
      <x:c r="I25" s="47" t="str">
        <x:v>Cảnh thở 5s</x:v>
      </x:c>
      <x:c r="J25" s="47" t="str"/>
    </x:row>
    <x:row r="26" ht="44" customHeight="1">
      <x:c r="A26" s="19" t="str">
        <x:v>V03</x:v>
      </x:c>
      <x:c r="B26" s="19" t="str">
        <x:v>31–42s</x:v>
      </x:c>
      <x:c r="C26" s="19" t="str">
        <x:v>Viết một dòng vào sổ</x:v>
      </x:c>
      <x:c r="D26" s="19" t="str">
        <x:v>Bàn quán</x:v>
      </x:c>
      <x:c r="E26" s="19" t="str">
        <x:v>Cận tay</x:v>
      </x:c>
      <x:c r="F26" s="19" t="str">
        <x:v>Viết “chậm lại”</x:v>
      </x:c>
      <x:c r="G26" s="19" t="str">
        <x:v>VO câu 4</x:v>
      </x:c>
      <x:c r="H26" s="19" t="str">
        <x:v>4s</x:v>
      </x:c>
      <x:c r="I26" s="19" t="str">
        <x:v>Không lộ ghi chú cá nhân</x:v>
      </x:c>
      <x:c r="J26" s="19" t="str"/>
    </x:row>
    <x:row r="27" ht="44" customHeight="1">
      <x:c r="A27" s="47" t="str">
        <x:v>V03</x:v>
      </x:c>
      <x:c r="B27" s="47" t="str">
        <x:v>42–55s</x:v>
      </x:c>
      <x:c r="C27" s="47" t="str">
        <x:v>Linh nói camera</x:v>
      </x:c>
      <x:c r="D27" s="47" t="str">
        <x:v>Bàn cửa sổ</x:v>
      </x:c>
      <x:c r="E27" s="47" t="str">
        <x:v>Nửa người</x:v>
      </x:c>
      <x:c r="F27" s="47" t="str">
        <x:v>Nói CTA nhỏ</x:v>
      </x:c>
      <x:c r="G27" s="47" t="str">
        <x:v>Nói câu kết</x:v>
      </x:c>
      <x:c r="H27" s="47" t="str">
        <x:v>5s</x:v>
      </x:c>
      <x:c r="I27" s="47" t="str">
        <x:v>Nhạc giảm ở cuối</x:v>
      </x:c>
      <x:c r="J27" s="47" t="str"/>
    </x:row>
    <x:row r="28" ht="44" customHeight="1">
      <x:c r="A28" s="19" t="str">
        <x:v>V03</x:v>
      </x:c>
      <x:c r="B28" s="19" t="str">
        <x:v>55–64s</x:v>
      </x:c>
      <x:c r="C28" s="19" t="str">
        <x:v>Nhìn ra cửa sổ</x:v>
      </x:c>
      <x:c r="D28" s="19" t="str">
        <x:v>Coffee shop</x:v>
      </x:c>
      <x:c r="E28" s="19" t="str">
        <x:v>Góc nghiêng</x:v>
      </x:c>
      <x:c r="F28" s="19" t="str">
        <x:v>Ngồi yên, chạm nhẹ ly nước</x:v>
      </x:c>
      <x:c r="G28" s="19" t="str">
        <x:v>VO câu chốt</x:v>
      </x:c>
      <x:c r="H28" s="19" t="str">
        <x:v>5s</x:v>
      </x:c>
      <x:c r="I28" s="19" t="str">
        <x:v>Nhạc nhẹ hơn, fade out</x:v>
      </x:c>
      <x:c r="J28" s="19" t="str"/>
    </x:row>
    <x:row r="29" ht="44" customHeight="1">
      <x:c r="A29" s="47" t="str">
        <x:v>V04</x:v>
      </x:c>
      <x:c r="B29" s="47" t="str">
        <x:v>0–3s</x:v>
      </x:c>
      <x:c r="C29" s="47" t="str">
        <x:v>Buộc tóc/giày</x:v>
      </x:c>
      <x:c r="D29" s="47" t="str">
        <x:v>Nhà/phòng tập</x:v>
      </x:c>
      <x:c r="E29" s="47" t="str">
        <x:v>Cận tay</x:v>
      </x:c>
      <x:c r="F29" s="47" t="str">
        <x:v>Buộc tóc hoặc siết dây giày</x:v>
      </x:c>
      <x:c r="G29" s="47" t="str">
        <x:v>Nói hook</x:v>
      </x:c>
      <x:c r="H29" s="47" t="str">
        <x:v>3s</x:v>
      </x:c>
      <x:c r="I29" s="47" t="str">
        <x:v>Mở bằng hành động</x:v>
      </x:c>
      <x:c r="J29" s="47" t="str"/>
    </x:row>
    <x:row r="30" ht="44" customHeight="1">
      <x:c r="A30" s="19" t="str">
        <x:v>V04</x:v>
      </x:c>
      <x:c r="B30" s="19" t="str">
        <x:v>3–9s</x:v>
      </x:c>
      <x:c r="C30" s="19" t="str">
        <x:v>Đi vào nơi tập</x:v>
      </x:c>
      <x:c r="D30" s="19" t="str">
        <x:v>Lối vào</x:v>
      </x:c>
      <x:c r="E30" s="19" t="str">
        <x:v>Góc sau vai</x:v>
      </x:c>
      <x:c r="F30" s="19" t="str">
        <x:v>Đi chậm vào</x:v>
      </x:c>
      <x:c r="G30" s="19" t="str">
        <x:v>VO câu 2</x:v>
      </x:c>
      <x:c r="H30" s="19" t="str">
        <x:v>4s</x:v>
      </x:c>
      <x:c r="I30" s="19" t="str">
        <x:v>Không quay bảng tên</x:v>
      </x:c>
      <x:c r="J30" s="19" t="str"/>
    </x:row>
    <x:row r="31" ht="44" customHeight="1">
      <x:c r="A31" s="47" t="str">
        <x:v>V04</x:v>
      </x:c>
      <x:c r="B31" s="47" t="str">
        <x:v>9–16s</x:v>
      </x:c>
      <x:c r="C31" s="47" t="str">
        <x:v>Khởi động</x:v>
      </x:c>
      <x:c r="D31" s="47" t="str">
        <x:v>Phòng tập/công viên</x:v>
      </x:c>
      <x:c r="E31" s="47" t="str">
        <x:v>Toàn thân xa</x:v>
      </x:c>
      <x:c r="F31" s="47" t="str">
        <x:v>Xoay vai, duỗi tay</x:v>
      </x:c>
      <x:c r="G31" s="47" t="str">
        <x:v>VO câu 2</x:v>
      </x:c>
      <x:c r="H31" s="47" t="str">
        <x:v>5s</x:v>
      </x:c>
      <x:c r="I31" s="47" t="str">
        <x:v>Đặt máy cố định</x:v>
      </x:c>
      <x:c r="J31" s="47" t="str"/>
    </x:row>
    <x:row r="32" ht="44" customHeight="1">
      <x:c r="A32" s="19" t="str">
        <x:v>V04</x:v>
      </x:c>
      <x:c r="B32" s="19" t="str">
        <x:v>16–25s</x:v>
      </x:c>
      <x:c r="C32" s="19" t="str">
        <x:v>Bài tập 1</x:v>
      </x:c>
      <x:c r="D32" s="19" t="str">
        <x:v>Phòng tập/công viên</x:v>
      </x:c>
      <x:c r="E32" s="19" t="str">
        <x:v>Góc ngang</x:v>
      </x:c>
      <x:c r="F32" s="19" t="str">
        <x:v>Tập 1 động tác nhẹ</x:v>
      </x:c>
      <x:c r="G32" s="19" t="str">
        <x:v>VO câu 3</x:v>
      </x:c>
      <x:c r="H32" s="19" t="str">
        <x:v>4s</x:v>
      </x:c>
      <x:c r="I32" s="19" t="str">
        <x:v>2 clip x 2s</x:v>
      </x:c>
      <x:c r="J32" s="19" t="str"/>
    </x:row>
    <x:row r="33" ht="44" customHeight="1">
      <x:c r="A33" s="47" t="str">
        <x:v>V04</x:v>
      </x:c>
      <x:c r="B33" s="47" t="str">
        <x:v>25–34s</x:v>
      </x:c>
      <x:c r="C33" s="47" t="str">
        <x:v>Bài tập 2/đi bộ</x:v>
      </x:c>
      <x:c r="D33" s="47" t="str">
        <x:v>Phòng tập/công viên</x:v>
      </x:c>
      <x:c r="E33" s="47" t="str">
        <x:v>Góc nghiêng</x:v>
      </x:c>
      <x:c r="F33" s="47" t="str">
        <x:v>Đi bộ hoặc giãn cơ</x:v>
      </x:c>
      <x:c r="G33" s="47" t="str">
        <x:v>VO câu 3</x:v>
      </x:c>
      <x:c r="H33" s="47" t="str">
        <x:v>4s</x:v>
      </x:c>
      <x:c r="I33" s="47" t="str">
        <x:v>Nhịp nhanh hơn nhẹ</x:v>
      </x:c>
      <x:c r="J33" s="47" t="str"/>
    </x:row>
    <x:row r="34" ht="44" customHeight="1">
      <x:c r="A34" s="19" t="str">
        <x:v>V04</x:v>
      </x:c>
      <x:c r="B34" s="19" t="str">
        <x:v>34–44s</x:v>
      </x:c>
      <x:c r="C34" s="19" t="str">
        <x:v>Uống nước</x:v>
      </x:c>
      <x:c r="D34" s="19" t="str">
        <x:v>Góc yên tĩnh</x:v>
      </x:c>
      <x:c r="E34" s="19" t="str">
        <x:v>Cận ly</x:v>
      </x:c>
      <x:c r="F34" s="19" t="str">
        <x:v>Uống nước, thở</x:v>
      </x:c>
      <x:c r="G34" s="19" t="str">
        <x:v>VO câu 4</x:v>
      </x:c>
      <x:c r="H34" s="19" t="str">
        <x:v>4s</x:v>
      </x:c>
      <x:c r="I34" s="19" t="str">
        <x:v>Nhạc dịu lại</x:v>
      </x:c>
      <x:c r="J34" s="19" t="str"/>
    </x:row>
    <x:row r="35" ht="44" customHeight="1">
      <x:c r="A35" s="47" t="str">
        <x:v>V04</x:v>
      </x:c>
      <x:c r="B35" s="47" t="str">
        <x:v>44–55s</x:v>
      </x:c>
      <x:c r="C35" s="47" t="str">
        <x:v>Linh sau buổi tập</x:v>
      </x:c>
      <x:c r="D35" s="47" t="str">
        <x:v>Gần cửa sổ/công viên</x:v>
      </x:c>
      <x:c r="E35" s="47" t="str">
        <x:v>Nửa người</x:v>
      </x:c>
      <x:c r="F35" s="47" t="str">
        <x:v>Mỉm cười, nói CTA</x:v>
      </x:c>
      <x:c r="G35" s="47" t="str">
        <x:v>VO câu 5 + CTA</x:v>
      </x:c>
      <x:c r="H35" s="47" t="str">
        <x:v>5s</x:v>
      </x:c>
      <x:c r="I35" s="47" t="str">
        <x:v>Không focus cơ thể</x:v>
      </x:c>
      <x:c r="J35" s="47" t="str"/>
    </x:row>
    <x:row r="36" ht="44" customHeight="1">
      <x:c r="A36" s="19" t="str">
        <x:v>V04</x:v>
      </x:c>
      <x:c r="B36" s="19" t="str">
        <x:v>55–64s</x:v>
      </x:c>
      <x:c r="C36" s="19" t="str">
        <x:v>Rời nơi tập</x:v>
      </x:c>
      <x:c r="D36" s="19" t="str">
        <x:v>Lối ra/công viên</x:v>
      </x:c>
      <x:c r="E36" s="19" t="str">
        <x:v>Góc sau vai</x:v>
      </x:c>
      <x:c r="F36" s="19" t="str">
        <x:v>Đi chậm, cầm chai nước</x:v>
      </x:c>
      <x:c r="G36" s="19" t="str">
        <x:v>VO câu chốt</x:v>
      </x:c>
      <x:c r="H36" s="19" t="str">
        <x:v>5s</x:v>
      </x:c>
      <x:c r="I36" s="19" t="str">
        <x:v>Cảnh có chuyển động nhẹ</x:v>
      </x:c>
      <x:c r="J36" s="19" t="str"/>
    </x:row>
    <x:row r="37" ht="44" customHeight="1">
      <x:c r="A37" s="47" t="str">
        <x:v>V05</x:v>
      </x:c>
      <x:c r="B37" s="47" t="str">
        <x:v>0–3s</x:v>
      </x:c>
      <x:c r="C37" s="47" t="str">
        <x:v>Mở tủ lạnh có vài hộp vừa đủ</x:v>
      </x:c>
      <x:c r="D37" s="47" t="str">
        <x:v>Bếp</x:v>
      </x:c>
      <x:c r="E37" s="47" t="str">
        <x:v>Góc từ trước</x:v>
      </x:c>
      <x:c r="F37" s="47" t="str">
        <x:v>Mở tủ, lấy rau/hộp</x:v>
      </x:c>
      <x:c r="G37" s="47" t="str">
        <x:v>Nói hook</x:v>
      </x:c>
      <x:c r="H37" s="47" t="str">
        <x:v>3s</x:v>
      </x:c>
      <x:c r="I37" s="47" t="str">
        <x:v>Chữ “tối bớt mệt”</x:v>
      </x:c>
      <x:c r="J37" s="47" t="str"/>
    </x:row>
    <x:row r="38" ht="44" customHeight="1">
      <x:c r="A38" s="19" t="str">
        <x:v>V05</x:v>
      </x:c>
      <x:c r="B38" s="19" t="str">
        <x:v>3–8s</x:v>
      </x:c>
      <x:c r="C38" s="19" t="str">
        <x:v>Bày nguyên liệu</x:v>
      </x:c>
      <x:c r="D38" s="19" t="str">
        <x:v>Bàn bếp</x:v>
      </x:c>
      <x:c r="E38" s="19" t="str">
        <x:v>Top-down</x:v>
      </x:c>
      <x:c r="F38" s="19" t="str">
        <x:v>Đặt rau, hộp, thớt</x:v>
      </x:c>
      <x:c r="G38" s="19" t="str">
        <x:v>VO câu 2</x:v>
      </x:c>
      <x:c r="H38" s="19" t="str">
        <x:v>4s</x:v>
      </x:c>
      <x:c r="I38" s="19" t="str">
        <x:v>Cảnh sáng, gọn</x:v>
      </x:c>
      <x:c r="J38" s="19" t="str"/>
    </x:row>
    <x:row r="39" ht="44" customHeight="1">
      <x:c r="A39" s="47" t="str">
        <x:v>V05</x:v>
      </x:c>
      <x:c r="B39" s="47" t="str">
        <x:v>8–16s</x:v>
      </x:c>
      <x:c r="C39" s="47" t="str">
        <x:v>Rửa rau</x:v>
      </x:c>
      <x:c r="D39" s="47" t="str">
        <x:v>Bồn rửa</x:v>
      </x:c>
      <x:c r="E39" s="47" t="str">
        <x:v>Cận tay</x:v>
      </x:c>
      <x:c r="F39" s="47" t="str">
        <x:v>Rửa và để ráo</x:v>
      </x:c>
      <x:c r="G39" s="47" t="str">
        <x:v>VO câu 3</x:v>
      </x:c>
      <x:c r="H39" s="47" t="str">
        <x:v>5s</x:v>
      </x:c>
      <x:c r="I39" s="47" t="str">
        <x:v>Giữ tiếng nước ngắn</x:v>
      </x:c>
      <x:c r="J39" s="47" t="str"/>
    </x:row>
    <x:row r="40" ht="44" customHeight="1">
      <x:c r="A40" s="19" t="str">
        <x:v>V05</x:v>
      </x:c>
      <x:c r="B40" s="19" t="str">
        <x:v>16–25s</x:v>
      </x:c>
      <x:c r="C40" s="19" t="str">
        <x:v>Chia hộp</x:v>
      </x:c>
      <x:c r="D40" s="19" t="str">
        <x:v>Bàn bếp</x:v>
      </x:c>
      <x:c r="E40" s="19" t="str">
        <x:v>Top-down</x:v>
      </x:c>
      <x:c r="F40" s="19" t="str">
        <x:v>Chia rau/đồ ăn vào hộp</x:v>
      </x:c>
      <x:c r="G40" s="19" t="str">
        <x:v>VO câu 3</x:v>
      </x:c>
      <x:c r="H40" s="19" t="str">
        <x:v>5s</x:v>
      </x:c>
      <x:c r="I40" s="19" t="str">
        <x:v>Cắt 2s/cảnh</x:v>
      </x:c>
      <x:c r="J40" s="19" t="str"/>
    </x:row>
    <x:row r="41" ht="44" customHeight="1">
      <x:c r="A41" s="47" t="str">
        <x:v>V05</x:v>
      </x:c>
      <x:c r="B41" s="47" t="str">
        <x:v>25–34s</x:v>
      </x:c>
      <x:c r="C41" s="47" t="str">
        <x:v>Dán nhãn đơn giản</x:v>
      </x:c>
      <x:c r="D41" s="47" t="str">
        <x:v>Bàn bếp</x:v>
      </x:c>
      <x:c r="E41" s="47" t="str">
        <x:v>Cận tay</x:v>
      </x:c>
      <x:c r="F41" s="47" t="str">
        <x:v>Viết “ngày mai”</x:v>
      </x:c>
      <x:c r="G41" s="47" t="str">
        <x:v>VO câu 4</x:v>
      </x:c>
      <x:c r="H41" s="47" t="str">
        <x:v>4s</x:v>
      </x:c>
      <x:c r="I41" s="47" t="str">
        <x:v>Không lộ lịch cá nhân</x:v>
      </x:c>
      <x:c r="J41" s="47" t="str"/>
    </x:row>
    <x:row r="42" ht="44" customHeight="1">
      <x:c r="A42" s="19" t="str">
        <x:v>V05</x:v>
      </x:c>
      <x:c r="B42" s="19" t="str">
        <x:v>34–42s</x:v>
      </x:c>
      <x:c r="C42" s="19" t="str">
        <x:v>Cất vào tủ lạnh</x:v>
      </x:c>
      <x:c r="D42" s="19" t="str">
        <x:v>Bếp</x:v>
      </x:c>
      <x:c r="E42" s="19" t="str">
        <x:v>Góc ngang</x:v>
      </x:c>
      <x:c r="F42" s="19" t="str">
        <x:v>Đặt hộp vào tủ</x:v>
      </x:c>
      <x:c r="G42" s="19" t="str">
        <x:v>VO câu 4</x:v>
      </x:c>
      <x:c r="H42" s="19" t="str">
        <x:v>4s</x:v>
      </x:c>
      <x:c r="I42" s="19" t="str">
        <x:v>Chuyển cảnh đóng tủ</x:v>
      </x:c>
      <x:c r="J42" s="19" t="str"/>
    </x:row>
    <x:row r="43" ht="44" customHeight="1">
      <x:c r="A43" s="47" t="str">
        <x:v>V05</x:v>
      </x:c>
      <x:c r="B43" s="47" t="str">
        <x:v>42–60s</x:v>
      </x:c>
      <x:c r="C43" s="47" t="str">
        <x:v>Đưa 1 hộp lên camera</x:v>
      </x:c>
      <x:c r="D43" s="47" t="str">
        <x:v>Bếp</x:v>
      </x:c>
      <x:c r="E43" s="47" t="str">
        <x:v>Nửa người</x:v>
      </x:c>
      <x:c r="F43" s="47" t="str">
        <x:v>Cầm hộp, nói CTA</x:v>
      </x:c>
      <x:c r="G43" s="47" t="str">
        <x:v>VO câu 5 + CTA</x:v>
      </x:c>
      <x:c r="H43" s="47" t="str">
        <x:v>5s</x:v>
      </x:c>
      <x:c r="I43" s="47" t="str">
        <x:v>Kết tươi, nhẹ</x:v>
      </x:c>
      <x:c r="J43" s="47" t="str"/>
    </x:row>
    <x:row r="44" ht="44" customHeight="1">
      <x:c r="A44" s="19" t="str">
        <x:v>V05</x:v>
      </x:c>
      <x:c r="B44" s="19" t="str">
        <x:v>60–64s</x:v>
      </x:c>
      <x:c r="C44" s="19" t="str">
        <x:v>Tủ lạnh đã chuẩn bị</x:v>
      </x:c>
      <x:c r="D44" s="19" t="str">
        <x:v>Bếp</x:v>
      </x:c>
      <x:c r="E44" s="19" t="str">
        <x:v>Góc từ trước</x:v>
      </x:c>
      <x:c r="F44" s="19" t="str">
        <x:v>Đóng tủ lạnh, nhìn lại một nhịp</x:v>
      </x:c>
      <x:c r="G44" s="19" t="str">
        <x:v>VO câu chốt</x:v>
      </x:c>
      <x:c r="H44" s="19" t="str">
        <x:v>4s</x:v>
      </x:c>
      <x:c r="I44" s="19" t="str">
        <x:v>Chữ “một hộp cho ngày mai là đủ”</x:v>
      </x:c>
      <x:c r="J44" s="19" t="str"/>
    </x:row>
    <x:row r="45" ht="44" customHeight="1">
      <x:c r="A45" s="47" t="str">
        <x:v>V06</x:v>
      </x:c>
      <x:c r="B45" s="47" t="str">
        <x:v>0–3s</x:v>
      </x:c>
      <x:c r="C45" s="47" t="str">
        <x:v>Ngồi trong xe khi xe đã đỗ</x:v>
      </x:c>
      <x:c r="D45" s="47" t="str">
        <x:v>Parking lot</x:v>
      </x:c>
      <x:c r="E45" s="47" t="str">
        <x:v>Cận từ trên xuống</x:v>
      </x:c>
      <x:c r="F45" s="47" t="str">
        <x:v>Tắt notification, nhìn lịch giấy</x:v>
      </x:c>
      <x:c r="G45" s="47" t="str">
        <x:v>Nói hook</x:v>
      </x:c>
      <x:c r="H45" s="47" t="str">
        <x:v>3s</x:v>
      </x:c>
      <x:c r="I45" s="47" t="str">
        <x:v>Chữ “ngày bận vẫn có thể nhẹ”</x:v>
      </x:c>
      <x:c r="J45" s="47" t="str"/>
    </x:row>
    <x:row r="46" ht="44" customHeight="1">
      <x:c r="A46" s="19" t="str">
        <x:v>V06</x:v>
      </x:c>
      <x:c r="B46" s="19" t="str">
        <x:v>3–8s</x:v>
      </x:c>
      <x:c r="C46" s="19" t="str">
        <x:v>Cầm túi bước khỏi xe</x:v>
      </x:c>
      <x:c r="D46" s="19" t="str">
        <x:v>Parking lot/lối vào</x:v>
      </x:c>
      <x:c r="E46" s="19" t="str">
        <x:v>Góc POV</x:v>
      </x:c>
      <x:c r="F46" s="19" t="str">
        <x:v>Đi bộ/cầm túi</x:v>
      </x:c>
      <x:c r="G46" s="19" t="str">
        <x:v>VO câu 2</x:v>
      </x:c>
      <x:c r="H46" s="19" t="str">
        <x:v>4s</x:v>
      </x:c>
      <x:c r="I46" s="19" t="str">
        <x:v>Tránh biển số xe</x:v>
      </x:c>
      <x:c r="J46" s="19" t="str"/>
    </x:row>
    <x:row r="47" ht="44" customHeight="1">
      <x:c r="A47" s="47" t="str">
        <x:v>V06</x:v>
      </x:c>
      <x:c r="B47" s="47" t="str">
        <x:v>8–13s</x:v>
      </x:c>
      <x:c r="C47" s="47" t="str">
        <x:v>Thang máy/cửa văn phòng</x:v>
      </x:c>
      <x:c r="D47" s="47" t="str">
        <x:v>Khu chung</x:v>
      </x:c>
      <x:c r="E47" s="47" t="str">
        <x:v>Cận tay</x:v>
      </x:c>
      <x:c r="F47" s="47" t="str">
        <x:v>Bấm nút/mở cửa</x:v>
      </x:c>
      <x:c r="G47" s="47" t="str">
        <x:v>VO câu 2</x:v>
      </x:c>
      <x:c r="H47" s="47" t="str">
        <x:v>4s</x:v>
      </x:c>
      <x:c r="I47" s="47" t="str">
        <x:v>Không quay tên công ty</x:v>
      </x:c>
      <x:c r="J47" s="47" t="str"/>
    </x:row>
    <x:row r="48" ht="44" customHeight="1">
      <x:c r="A48" s="19" t="str">
        <x:v>V06</x:v>
      </x:c>
      <x:c r="B48" s="19" t="str">
        <x:v>13–20s</x:v>
      </x:c>
      <x:c r="C48" s="19" t="str">
        <x:v>Bàn làm việc</x:v>
      </x:c>
      <x:c r="D48" s="19" t="str">
        <x:v>Nơi làm việc</x:v>
      </x:c>
      <x:c r="E48" s="19" t="str">
        <x:v>Cận tay</x:v>
      </x:c>
      <x:c r="F48" s="19" t="str">
        <x:v>Đặt sổ, bút, ly nước</x:v>
      </x:c>
      <x:c r="G48" s="19" t="str">
        <x:v>VO câu 3</x:v>
      </x:c>
      <x:c r="H48" s="19" t="str">
        <x:v>4s</x:v>
      </x:c>
      <x:c r="I48" s="19" t="str">
        <x:v>Không quay màn hình</x:v>
      </x:c>
      <x:c r="J48" s="19" t="str"/>
    </x:row>
    <x:row r="49" ht="44" customHeight="1">
      <x:c r="A49" s="47" t="str">
        <x:v>V06</x:v>
      </x:c>
      <x:c r="B49" s="47" t="str">
        <x:v>20–30s</x:v>
      </x:c>
      <x:c r="C49" s="47" t="str">
        <x:v>Chọn 1 việc</x:v>
      </x:c>
      <x:c r="D49" s="47" t="str">
        <x:v>Nơi làm việc</x:v>
      </x:c>
      <x:c r="E49" s="47" t="str">
        <x:v>Cận sổ</x:v>
      </x:c>
      <x:c r="F49" s="47" t="str">
        <x:v>Khoanh một đầu việc</x:v>
      </x:c>
      <x:c r="G49" s="47" t="str">
        <x:v>VO câu 3</x:v>
      </x:c>
      <x:c r="H49" s="47" t="str">
        <x:v>4s</x:v>
      </x:c>
      <x:c r="I49" s="47" t="str">
        <x:v>Chữ “một việc quan trọng”</x:v>
      </x:c>
      <x:c r="J49" s="47" t="str"/>
    </x:row>
    <x:row r="50" ht="44" customHeight="1">
      <x:c r="A50" s="19" t="str">
        <x:v>V06</x:v>
      </x:c>
      <x:c r="B50" s="19" t="str">
        <x:v>30–42s</x:v>
      </x:c>
      <x:c r="C50" s="19" t="str">
        <x:v>Uống nước / đứng dậy</x:v>
      </x:c>
      <x:c r="D50" s="19" t="str">
        <x:v>Khu yên tĩnh</x:v>
      </x:c>
      <x:c r="E50" s="19" t="str">
        <x:v>Nửa người sau lưng</x:v>
      </x:c>
      <x:c r="F50" s="19" t="str">
        <x:v>Đi lấy nước, nhìn ra cửa sổ</x:v>
      </x:c>
      <x:c r="G50" s="19" t="str">
        <x:v>VO câu 4</x:v>
      </x:c>
      <x:c r="H50" s="19" t="str">
        <x:v>5s</x:v>
      </x:c>
      <x:c r="I50" s="19" t="str">
        <x:v>Giữ nhịp thở</x:v>
      </x:c>
      <x:c r="J50" s="19" t="str"/>
    </x:row>
    <x:row r="51" ht="44" customHeight="1">
      <x:c r="A51" s="47" t="str">
        <x:v>V06</x:v>
      </x:c>
      <x:c r="B51" s="47" t="str">
        <x:v>42–55s</x:v>
      </x:c>
      <x:c r="C51" s="47" t="str">
        <x:v>Linh tan làm</x:v>
      </x:c>
      <x:c r="D51" s="47" t="str">
        <x:v>Ngoài trời</x:v>
      </x:c>
      <x:c r="E51" s="47" t="str">
        <x:v>Nửa người</x:v>
      </x:c>
      <x:c r="F51" s="47" t="str">
        <x:v>Nói câu kết</x:v>
      </x:c>
      <x:c r="G51" s="47" t="str">
        <x:v>VO câu 5 + CTA</x:v>
      </x:c>
      <x:c r="H51" s="47" t="str">
        <x:v>5s</x:v>
      </x:c>
      <x:c r="I51" s="47" t="str">
        <x:v>Ánh sáng chiều ấm</x:v>
      </x:c>
      <x:c r="J51" s="47" t="str"/>
    </x:row>
    <x:row r="52" ht="44" customHeight="1">
      <x:c r="A52" s="19" t="str">
        <x:v>V06</x:v>
      </x:c>
      <x:c r="B52" s="19" t="str">
        <x:v>55–64s</x:v>
      </x:c>
      <x:c r="C52" s="19" t="str">
        <x:v>Tan làm</x:v>
      </x:c>
      <x:c r="D52" s="19" t="str">
        <x:v>Ngoài trời</x:v>
      </x:c>
      <x:c r="E52" s="19" t="str">
        <x:v>Nửa người</x:v>
      </x:c>
      <x:c r="F52" s="19" t="str">
        <x:v>Đi chậm hoặc đứng cạnh cửa sổ</x:v>
      </x:c>
      <x:c r="G52" s="19" t="str">
        <x:v>VO câu chốt</x:v>
      </x:c>
      <x:c r="H52" s="19" t="str">
        <x:v>5s</x:v>
      </x:c>
      <x:c r="I52" s="19" t="str">
        <x:v>Giảm nhạc ở câu cuối</x:v>
      </x:c>
      <x:c r="J52" s="19" t="str"/>
    </x:row>
    <x:row r="53" ht="44" customHeight="1">
      <x:c r="A53" s="47" t="str">
        <x:v>V07</x:v>
      </x:c>
      <x:c r="B53" s="47" t="str">
        <x:v>0–3s</x:v>
      </x:c>
      <x:c r="C53" s="47" t="str">
        <x:v>Góc bàn trước khi dọn</x:v>
      </x:c>
      <x:c r="D53" s="47" t="str">
        <x:v>Nhà</x:v>
      </x:c>
      <x:c r="E53" s="47" t="str">
        <x:v>Góc top-down</x:v>
      </x:c>
      <x:c r="F53" s="47" t="str">
        <x:v>Lia chậm qua vài món</x:v>
      </x:c>
      <x:c r="G53" s="47" t="str">
        <x:v>Nói hook</x:v>
      </x:c>
      <x:c r="H53" s="47" t="str">
        <x:v>3s</x:v>
      </x:c>
      <x:c r="I53" s="47" t="str">
        <x:v>Không để lộ giấy tờ</x:v>
      </x:c>
      <x:c r="J53" s="47" t="str"/>
    </x:row>
    <x:row r="54" ht="44" customHeight="1">
      <x:c r="A54" s="19" t="str">
        <x:v>V07</x:v>
      </x:c>
      <x:c r="B54" s="19" t="str">
        <x:v>3–8s</x:v>
      </x:c>
      <x:c r="C54" s="19" t="str">
        <x:v>Nhặt đồ khỏi bàn</x:v>
      </x:c>
      <x:c r="D54" s="19" t="str">
        <x:v>Nhà</x:v>
      </x:c>
      <x:c r="E54" s="19" t="str">
        <x:v>Cận tay</x:v>
      </x:c>
      <x:c r="F54" s="19" t="str">
        <x:v>Đặt đồ vào khay</x:v>
      </x:c>
      <x:c r="G54" s="19" t="str">
        <x:v>VO câu 2</x:v>
      </x:c>
      <x:c r="H54" s="19" t="str">
        <x:v>4s</x:v>
      </x:c>
      <x:c r="I54" s="19" t="str">
        <x:v>Cắt theo thao tác</x:v>
      </x:c>
      <x:c r="J54" s="19" t="str"/>
    </x:row>
    <x:row r="55" ht="44" customHeight="1">
      <x:c r="A55" s="47" t="str">
        <x:v>V07</x:v>
      </x:c>
      <x:c r="B55" s="47" t="str">
        <x:v>8–15s</x:v>
      </x:c>
      <x:c r="C55" s="47" t="str">
        <x:v>Bỏ bớt giấy</x:v>
      </x:c>
      <x:c r="D55" s="47" t="str">
        <x:v>Nhà</x:v>
      </x:c>
      <x:c r="E55" s="47" t="str">
        <x:v>Cận tay</x:v>
      </x:c>
      <x:c r="F55" s="47" t="str">
        <x:v>Phân loại giấy vô danh</x:v>
      </x:c>
      <x:c r="G55" s="47" t="str">
        <x:v>VO câu 2</x:v>
      </x:c>
      <x:c r="H55" s="47" t="str">
        <x:v>4s</x:v>
      </x:c>
      <x:c r="I55" s="47" t="str">
        <x:v>Không quay chữ riêng tư</x:v>
      </x:c>
      <x:c r="J55" s="47" t="str"/>
    </x:row>
    <x:row r="56" ht="44" customHeight="1">
      <x:c r="A56" s="19" t="str">
        <x:v>V07</x:v>
      </x:c>
      <x:c r="B56" s="19" t="str">
        <x:v>15–24s</x:v>
      </x:c>
      <x:c r="C56" s="19" t="str">
        <x:v>Lau bàn</x:v>
      </x:c>
      <x:c r="D56" s="19" t="str">
        <x:v>Nhà</x:v>
      </x:c>
      <x:c r="E56" s="19" t="str">
        <x:v>Cận tay</x:v>
      </x:c>
      <x:c r="F56" s="19" t="str">
        <x:v>Lau chậm từ trái sang phải</x:v>
      </x:c>
      <x:c r="G56" s="19" t="str">
        <x:v>VO câu 3</x:v>
      </x:c>
      <x:c r="H56" s="19" t="str">
        <x:v>5s</x:v>
      </x:c>
      <x:c r="I56" s="19" t="str">
        <x:v>Giữ tiếng lau bàn</x:v>
      </x:c>
      <x:c r="J56" s="19" t="str"/>
    </x:row>
    <x:row r="57" ht="44" customHeight="1">
      <x:c r="A57" s="47" t="str">
        <x:v>V07</x:v>
      </x:c>
      <x:c r="B57" s="47" t="str">
        <x:v>24–33s</x:v>
      </x:c>
      <x:c r="C57" s="47" t="str">
        <x:v>Đặt đèn/cây nhỏ</x:v>
      </x:c>
      <x:c r="D57" s="47" t="str">
        <x:v>Nhà</x:v>
      </x:c>
      <x:c r="E57" s="47" t="str">
        <x:v>Góc nghiêng</x:v>
      </x:c>
      <x:c r="F57" s="47" t="str">
        <x:v>Bày lại 1–2 vật</x:v>
      </x:c>
      <x:c r="G57" s="47" t="str">
        <x:v>VO câu 3</x:v>
      </x:c>
      <x:c r="H57" s="47" t="str">
        <x:v>4s</x:v>
      </x:c>
      <x:c r="I57" s="47" t="str">
        <x:v>Đừng thêm quá nhiều đồ</x:v>
      </x:c>
      <x:c r="J57" s="47" t="str"/>
    </x:row>
    <x:row r="58" ht="44" customHeight="1">
      <x:c r="A58" s="19" t="str">
        <x:v>V07</x:v>
      </x:c>
      <x:c r="B58" s="19" t="str">
        <x:v>33–41s</x:v>
      </x:c>
      <x:c r="C58" s="19" t="str">
        <x:v>Góc bàn sau khi dọn</x:v>
      </x:c>
      <x:c r="D58" s="19" t="str">
        <x:v>Nhà</x:v>
      </x:c>
      <x:c r="E58" s="19" t="str">
        <x:v>Góc cố định như đầu video</x:v>
      </x:c>
      <x:c r="F58" s="19" t="str">
        <x:v>Lia lại cùng góc</x:v>
      </x:c>
      <x:c r="G58" s="19" t="str">
        <x:v>VO câu 4</x:v>
      </x:c>
      <x:c r="H58" s="19" t="str">
        <x:v>5s</x:v>
      </x:c>
      <x:c r="I58" s="19" t="str">
        <x:v>So sánh trước–sau</x:v>
      </x:c>
      <x:c r="J58" s="19" t="str"/>
    </x:row>
    <x:row r="59" ht="44" customHeight="1">
      <x:c r="A59" s="47" t="str">
        <x:v>V07</x:v>
      </x:c>
      <x:c r="B59" s="47" t="str">
        <x:v>41–55s</x:v>
      </x:c>
      <x:c r="C59" s="47" t="str">
        <x:v>Linh ngồi xuống</x:v>
      </x:c>
      <x:c r="D59" s="47" t="str">
        <x:v>Nhà</x:v>
      </x:c>
      <x:c r="E59" s="47" t="str">
        <x:v>Nửa người sau lưng</x:v>
      </x:c>
      <x:c r="F59" s="47" t="str">
        <x:v>Ngồi, uống trà hoặc viết</x:v>
      </x:c>
      <x:c r="G59" s="47" t="str">
        <x:v>VO câu 5 + CTA</x:v>
      </x:c>
      <x:c r="H59" s="47" t="str">
        <x:v>5s</x:v>
      </x:c>
      <x:c r="I59" s="47" t="str">
        <x:v>Nhạc dịu cuối video</x:v>
      </x:c>
      <x:c r="J59" s="47" t="str"/>
    </x:row>
    <x:row r="60" ht="44" customHeight="1">
      <x:c r="A60" s="19" t="str">
        <x:v>V07</x:v>
      </x:c>
      <x:c r="B60" s="19" t="str">
        <x:v>55–64s</x:v>
      </x:c>
      <x:c r="C60" s="19" t="str">
        <x:v>Góc bàn sau khi dọn</x:v>
      </x:c>
      <x:c r="D60" s="19" t="str">
        <x:v>Nhà</x:v>
      </x:c>
      <x:c r="E60" s="19" t="str">
        <x:v>Góc cố định</x:v>
      </x:c>
      <x:c r="F60" s="19" t="str">
        <x:v>Linh ngồi xuống, mở sổ hoặc uống trà</x:v>
      </x:c>
      <x:c r="G60" s="19" t="str">
        <x:v>VO câu chốt</x:v>
      </x:c>
      <x:c r="H60" s="19" t="str">
        <x:v>5s</x:v>
      </x:c>
      <x:c r="I60" s="19" t="str">
        <x:v>So sánh rõ với cảnh đầu</x:v>
      </x:c>
      <x:c r="J60" s="19" t="str"/>
    </x:row>
    <x:row r="61" ht="44" customHeight="1">
      <x:c r="A61" s="47" t="str">
        <x:v>V08</x:v>
      </x:c>
      <x:c r="B61" s="47" t="str">
        <x:v>0–3s</x:v>
      </x:c>
      <x:c r="C61" s="47" t="str">
        <x:v>Linh nhìn ra đường</x:v>
      </x:c>
      <x:c r="D61" s="47" t="str">
        <x:v>Coffee shop/ngoài trời</x:v>
      </x:c>
      <x:c r="E61" s="47" t="str">
        <x:v>Nửa người nghiêng</x:v>
      </x:c>
      <x:c r="F61" s="47" t="str">
        <x:v>Ngồi yên 1 nhịp</x:v>
      </x:c>
      <x:c r="G61" s="47" t="str">
        <x:v>Nói hook</x:v>
      </x:c>
      <x:c r="H61" s="47" t="str">
        <x:v>3s</x:v>
      </x:c>
      <x:c r="I61" s="47" t="str">
        <x:v>Chữ “làm ít hơn không kém”</x:v>
      </x:c>
      <x:c r="J61" s="47" t="str"/>
    </x:row>
    <x:row r="62" ht="44" customHeight="1">
      <x:c r="A62" s="19" t="str">
        <x:v>V08</x:v>
      </x:c>
      <x:c r="B62" s="19" t="str">
        <x:v>3–8s</x:v>
      </x:c>
      <x:c r="C62" s="19" t="str">
        <x:v>Mở sổ</x:v>
      </x:c>
      <x:c r="D62" s="19" t="str">
        <x:v>Bàn cà phê</x:v>
      </x:c>
      <x:c r="E62" s="19" t="str">
        <x:v>Cận tay</x:v>
      </x:c>
      <x:c r="F62" s="19" t="str">
        <x:v>Mở sổ, thở nhẹ</x:v>
      </x:c>
      <x:c r="G62" s="19" t="str">
        <x:v>VO câu 2</x:v>
      </x:c>
      <x:c r="H62" s="19" t="str">
        <x:v>4s</x:v>
      </x:c>
      <x:c r="I62" s="19" t="str">
        <x:v>Cảnh chậm</x:v>
      </x:c>
      <x:c r="J62" s="19" t="str"/>
    </x:row>
    <x:row r="63" ht="44" customHeight="1">
      <x:c r="A63" s="47" t="str">
        <x:v>V08</x:v>
      </x:c>
      <x:c r="B63" s="47" t="str">
        <x:v>8–15s</x:v>
      </x:c>
      <x:c r="C63" s="47" t="str">
        <x:v>Danh sách việc</x:v>
      </x:c>
      <x:c r="D63" s="47" t="str">
        <x:v>Bàn cà phê</x:v>
      </x:c>
      <x:c r="E63" s="47" t="str">
        <x:v>Top-down</x:v>
      </x:c>
      <x:c r="F63" s="47" t="str">
        <x:v>Chỉ để 3 ô vô danh</x:v>
      </x:c>
      <x:c r="G63" s="47" t="str">
        <x:v>VO câu 2</x:v>
      </x:c>
      <x:c r="H63" s="47" t="str">
        <x:v>4s</x:v>
      </x:c>
      <x:c r="I63" s="47" t="str">
        <x:v>Không lộ thông tin việc</x:v>
      </x:c>
      <x:c r="J63" s="47" t="str"/>
    </x:row>
    <x:row r="64" ht="44" customHeight="1">
      <x:c r="A64" s="19" t="str">
        <x:v>V08</x:v>
      </x:c>
      <x:c r="B64" s="19" t="str">
        <x:v>15–24s</x:v>
      </x:c>
      <x:c r="C64" s="19" t="str">
        <x:v>Tick một việc</x:v>
      </x:c>
      <x:c r="D64" s="19" t="str">
        <x:v>Bàn cà phê</x:v>
      </x:c>
      <x:c r="E64" s="19" t="str">
        <x:v>Cận bút</x:v>
      </x:c>
      <x:c r="F64" s="19" t="str">
        <x:v>Gạch một việc hoàn thành</x:v>
      </x:c>
      <x:c r="G64" s="19" t="str">
        <x:v>VO câu 3</x:v>
      </x:c>
      <x:c r="H64" s="19" t="str">
        <x:v>4s</x:v>
      </x:c>
      <x:c r="I64" s="19" t="str">
        <x:v>Nhấn phụ đề “một việc quan trọng”</x:v>
      </x:c>
      <x:c r="J64" s="19" t="str"/>
    </x:row>
    <x:row r="65" ht="44" customHeight="1">
      <x:c r="A65" s="47" t="str">
        <x:v>V08</x:v>
      </x:c>
      <x:c r="B65" s="47" t="str">
        <x:v>24–33s</x:v>
      </x:c>
      <x:c r="C65" s="47" t="str">
        <x:v>Log off và đóng laptop</x:v>
      </x:c>
      <x:c r="D65" s="47" t="str">
        <x:v>Bàn cà phê</x:v>
      </x:c>
      <x:c r="E65" s="47" t="str">
        <x:v>Cận tay</x:v>
      </x:c>
      <x:c r="F65" s="47" t="str">
        <x:v>Đóng laptop nhẹ</x:v>
      </x:c>
      <x:c r="G65" s="47" t="str">
        <x:v>VO câu 4</x:v>
      </x:c>
      <x:c r="H65" s="47" t="str">
        <x:v>4s</x:v>
      </x:c>
      <x:c r="I65" s="47" t="str">
        <x:v>Không quay màn hình</x:v>
      </x:c>
      <x:c r="J65" s="47" t="str"/>
    </x:row>
    <x:row r="66" ht="44" customHeight="1">
      <x:c r="A66" s="19" t="str">
        <x:v>V08</x:v>
      </x:c>
      <x:c r="B66" s="19" t="str">
        <x:v>33–42s</x:v>
      </x:c>
      <x:c r="C66" s="19" t="str">
        <x:v>Đi bộ</x:v>
      </x:c>
      <x:c r="D66" s="19" t="str">
        <x:v>Vỉa hè/công viên</x:v>
      </x:c>
      <x:c r="E66" s="19" t="str">
        <x:v>Góc sau lưng</x:v>
      </x:c>
      <x:c r="F66" s="19" t="str">
        <x:v>Đi chậm</x:v>
      </x:c>
      <x:c r="G66" s="19" t="str">
        <x:v>VO câu 4</x:v>
      </x:c>
      <x:c r="H66" s="19" t="str">
        <x:v>5s</x:v>
      </x:c>
      <x:c r="I66" s="19" t="str">
        <x:v>Giữ một cảnh 5s</x:v>
      </x:c>
      <x:c r="J66" s="19" t="str"/>
    </x:row>
    <x:row r="67" ht="44" customHeight="1">
      <x:c r="A67" s="47" t="str">
        <x:v>V08</x:v>
      </x:c>
      <x:c r="B67" s="47" t="str">
        <x:v>42–55s</x:v>
      </x:c>
      <x:c r="C67" s="47" t="str">
        <x:v>Linh nói camera</x:v>
      </x:c>
      <x:c r="D67" s="47" t="str">
        <x:v>Ánh sáng chiều</x:v>
      </x:c>
      <x:c r="E67" s="47" t="str">
        <x:v>Nửa người</x:v>
      </x:c>
      <x:c r="F67" s="47" t="str">
        <x:v>Nói CTA gần gũi</x:v>
      </x:c>
      <x:c r="G67" s="47" t="str">
        <x:v>VO câu 5 + CTA</x:v>
      </x:c>
      <x:c r="H67" s="47" t="str">
        <x:v>5s</x:v>
      </x:c>
      <x:c r="I67" s="47" t="str">
        <x:v>Giảm nhạc cuối</x:v>
      </x:c>
      <x:c r="J67" s="47" t="str"/>
    </x:row>
    <x:row r="68" ht="44" customHeight="1">
      <x:c r="A68" s="19" t="str">
        <x:v>V08</x:v>
      </x:c>
      <x:c r="B68" s="19" t="str">
        <x:v>55–64s</x:v>
      </x:c>
      <x:c r="C68" s="19" t="str">
        <x:v>Đi bộ ánh chiều</x:v>
      </x:c>
      <x:c r="D68" s="19" t="str">
        <x:v>Vỉa hè/công viên</x:v>
      </x:c>
      <x:c r="E68" s="19" t="str">
        <x:v>Góc sau lưng</x:v>
      </x:c>
      <x:c r="F68" s="19" t="str">
        <x:v>Đi chậm, không nhìn máy</x:v>
      </x:c>
      <x:c r="G68" s="19" t="str">
        <x:v>VO câu chốt</x:v>
      </x:c>
      <x:c r="H68" s="19" t="str">
        <x:v>5s</x:v>
      </x:c>
      <x:c r="I68" s="19" t="str">
        <x:v>Giữ cảnh thở, không cần CTA hỏi</x:v>
      </x:c>
      <x:c r="J68" s="19" t="str"/>
    </x:row>
    <x:row r="69" ht="44" customHeight="1">
      <x:c r="A69" s="47" t="str">
        <x:v>V09</x:v>
      </x:c>
      <x:c r="B69" s="47" t="str">
        <x:v>0–3s</x:v>
      </x:c>
      <x:c r="C69" s="47" t="str">
        <x:v>Bật đèn vàng</x:v>
      </x:c>
      <x:c r="D69" s="47" t="str">
        <x:v>Nhà</x:v>
      </x:c>
      <x:c r="E69" s="47" t="str">
        <x:v>Cận tay</x:v>
      </x:c>
      <x:c r="F69" s="47" t="str">
        <x:v>Tắt đèn chính, bật đèn bàn</x:v>
      </x:c>
      <x:c r="G69" s="47" t="str">
        <x:v>Nói hook</x:v>
      </x:c>
      <x:c r="H69" s="47" t="str">
        <x:v>3s</x:v>
      </x:c>
      <x:c r="I69" s="47" t="str">
        <x:v>Màu ấm, yên</x:v>
      </x:c>
      <x:c r="J69" s="47" t="str"/>
    </x:row>
    <x:row r="70" ht="44" customHeight="1">
      <x:c r="A70" s="19" t="str">
        <x:v>V09</x:v>
      </x:c>
      <x:c r="B70" s="19" t="str">
        <x:v>3–8s</x:v>
      </x:c>
      <x:c r="C70" s="19" t="str">
        <x:v>Đặt đồ tắm</x:v>
      </x:c>
      <x:c r="D70" s="19" t="str">
        <x:v>Nhà</x:v>
      </x:c>
      <x:c r="E70" s="19" t="str">
        <x:v>Cận đồ vật</x:v>
      </x:c>
      <x:c r="F70" s="19" t="str">
        <x:v>Gấp khăn/đặt đồ</x:v>
      </x:c>
      <x:c r="G70" s="19" t="str">
        <x:v>VO câu 2</x:v>
      </x:c>
      <x:c r="H70" s="19" t="str">
        <x:v>4s</x:v>
      </x:c>
      <x:c r="I70" s="19" t="str">
        <x:v>Không quay góc quá riêng tư</x:v>
      </x:c>
      <x:c r="J70" s="19" t="str"/>
    </x:row>
    <x:row r="71" ht="44" customHeight="1">
      <x:c r="A71" s="47" t="str">
        <x:v>V09</x:v>
      </x:c>
      <x:c r="B71" s="47" t="str">
        <x:v>8–15s</x:v>
      </x:c>
      <x:c r="C71" s="47" t="str">
        <x:v>Pha trà</x:v>
      </x:c>
      <x:c r="D71" s="47" t="str">
        <x:v>Bếp</x:v>
      </x:c>
      <x:c r="E71" s="47" t="str">
        <x:v>Cận ly</x:v>
      </x:c>
      <x:c r="F71" s="47" t="str">
        <x:v>Đổ nước nóng</x:v>
      </x:c>
      <x:c r="G71" s="47" t="str">
        <x:v>VO câu 2</x:v>
      </x:c>
      <x:c r="H71" s="47" t="str">
        <x:v>5s</x:v>
      </x:c>
      <x:c r="I71" s="47" t="str">
        <x:v>Giữ tiếng nước ngắn</x:v>
      </x:c>
      <x:c r="J71" s="47" t="str"/>
    </x:row>
    <x:row r="72" ht="44" customHeight="1">
      <x:c r="A72" s="19" t="str">
        <x:v>V09</x:v>
      </x:c>
      <x:c r="B72" s="19" t="str">
        <x:v>15–24s</x:v>
      </x:c>
      <x:c r="C72" s="19" t="str">
        <x:v>Skincare cơ bản</x:v>
      </x:c>
      <x:c r="D72" s="19" t="str">
        <x:v>Bàn trang điểm</x:v>
      </x:c>
      <x:c r="E72" s="19" t="str">
        <x:v>Cận tay</x:v>
      </x:c>
      <x:c r="F72" s="19" t="str">
        <x:v>Lấy kem, thoa nhẹ</x:v>
      </x:c>
      <x:c r="G72" s="19" t="str">
        <x:v>VO câu 3</x:v>
      </x:c>
      <x:c r="H72" s="19" t="str">
        <x:v>4s</x:v>
      </x:c>
      <x:c r="I72" s="19" t="str">
        <x:v>Không cần nhãn hàng</x:v>
      </x:c>
      <x:c r="J72" s="19" t="str"/>
    </x:row>
    <x:row r="73" ht="44" customHeight="1">
      <x:c r="A73" s="47" t="str">
        <x:v>V09</x:v>
      </x:c>
      <x:c r="B73" s="47" t="str">
        <x:v>24–33s</x:v>
      </x:c>
      <x:c r="C73" s="47" t="str">
        <x:v>Úp điện thoại</x:v>
      </x:c>
      <x:c r="D73" s="47" t="str">
        <x:v>Sofa/bàn</x:v>
      </x:c>
      <x:c r="E73" s="47" t="str">
        <x:v>Cận tay</x:v>
      </x:c>
      <x:c r="F73" s="47" t="str">
        <x:v>Đặt điện thoại xa</x:v>
      </x:c>
      <x:c r="G73" s="47" t="str">
        <x:v>VO câu 3</x:v>
      </x:c>
      <x:c r="H73" s="47" t="str">
        <x:v>4s</x:v>
      </x:c>
      <x:c r="I73" s="47" t="str">
        <x:v>Chữ “để xa một chút”</x:v>
      </x:c>
      <x:c r="J73" s="47" t="str"/>
    </x:row>
    <x:row r="74" ht="44" customHeight="1">
      <x:c r="A74" s="19" t="str">
        <x:v>V09</x:v>
      </x:c>
      <x:c r="B74" s="19" t="str">
        <x:v>33–42s</x:v>
      </x:c>
      <x:c r="C74" s="19" t="str">
        <x:v>Ngồi với trà</x:v>
      </x:c>
      <x:c r="D74" s="19" t="str">
        <x:v>Sofa</x:v>
      </x:c>
      <x:c r="E74" s="19" t="str">
        <x:v>Góc sau vai</x:v>
      </x:c>
      <x:c r="F74" s="19" t="str">
        <x:v>Cầm ly trà, thở</x:v>
      </x:c>
      <x:c r="G74" s="19" t="str">
        <x:v>VO câu 4</x:v>
      </x:c>
      <x:c r="H74" s="19" t="str">
        <x:v>5s</x:v>
      </x:c>
      <x:c r="I74" s="19" t="str">
        <x:v>Nhạc dịu, cảnh chậm</x:v>
      </x:c>
      <x:c r="J74" s="19" t="str"/>
    </x:row>
    <x:row r="75" ht="44" customHeight="1">
      <x:c r="A75" s="47" t="str">
        <x:v>V09</x:v>
      </x:c>
      <x:c r="B75" s="47" t="str">
        <x:v>42–60s</x:v>
      </x:c>
      <x:c r="C75" s="47" t="str">
        <x:v>Không gian yên</x:v>
      </x:c>
      <x:c r="D75" s="47" t="str">
        <x:v>Sofa</x:v>
      </x:c>
      <x:c r="E75" s="47" t="str">
        <x:v>Nửa người</x:v>
      </x:c>
      <x:c r="F75" s="47" t="str">
        <x:v>Nhìn camera 1 nhịp</x:v>
      </x:c>
      <x:c r="G75" s="47" t="str">
        <x:v>VO câu 5 + CTA</x:v>
      </x:c>
      <x:c r="H75" s="47" t="str">
        <x:v>5s</x:v>
      </x:c>
      <x:c r="I75" s="47" t="str">
        <x:v>Fade out nhẹ</x:v>
      </x:c>
      <x:c r="J75" s="47" t="str"/>
    </x:row>
    <x:row r="76" ht="44" customHeight="1">
      <x:c r="A76" s="19" t="str">
        <x:v>V09</x:v>
      </x:c>
      <x:c r="B76" s="19" t="str">
        <x:v>60–64s</x:v>
      </x:c>
      <x:c r="C76" s="19" t="str">
        <x:v>Không gian tối dịu</x:v>
      </x:c>
      <x:c r="D76" s="19" t="str">
        <x:v>Sofa/phòng khách</x:v>
      </x:c>
      <x:c r="E76" s="19" t="str">
        <x:v>Góc xa</x:v>
      </x:c>
      <x:c r="F76" s="19" t="str">
        <x:v>Đặt ly trà xuống, tắt đèn bàn</x:v>
      </x:c>
      <x:c r="G76" s="19" t="str">
        <x:v>VO câu chốt</x:v>
      </x:c>
      <x:c r="H76" s="19" t="str">
        <x:v>4s</x:v>
      </x:c>
      <x:c r="I76" s="19" t="str">
        <x:v>Fade to black nhẹ</x:v>
      </x:c>
      <x:c r="J76" s="19" t="str"/>
    </x:row>
    <x:row r="77" ht="44" customHeight="1">
      <x:c r="A77" s="47" t="str">
        <x:v>V10</x:v>
      </x:c>
      <x:c r="B77" s="47" t="str">
        <x:v>0–3s</x:v>
      </x:c>
      <x:c r="C77" s="47" t="str">
        <x:v>Laundry basket và shopping list</x:v>
      </x:c>
      <x:c r="D77" s="47" t="str">
        <x:v>Nhà</x:v>
      </x:c>
      <x:c r="E77" s="47" t="str">
        <x:v>Cận tay</x:v>
      </x:c>
      <x:c r="F77" s="47" t="str">
        <x:v>Đeo kính, cầm túi</x:v>
      </x:c>
      <x:c r="G77" s="47" t="str">
        <x:v>Nói hook</x:v>
      </x:c>
      <x:c r="H77" s="47" t="str">
        <x:v>3s</x:v>
      </x:c>
      <x:c r="I77" s="47" t="str">
        <x:v>Mở bằng chuyển động</x:v>
      </x:c>
      <x:c r="J77" s="47" t="str"/>
    </x:row>
    <x:row r="78" ht="44" customHeight="1">
      <x:c r="A78" s="19" t="str">
        <x:v>V10</x:v>
      </x:c>
      <x:c r="B78" s="19" t="str">
        <x:v>3–8s</x:v>
      </x:c>
      <x:c r="C78" s="19" t="str">
        <x:v>Đi bộ</x:v>
      </x:c>
      <x:c r="D78" s="19" t="str">
        <x:v>Vỉa hè</x:v>
      </x:c>
      <x:c r="E78" s="19" t="str">
        <x:v>Góc sau lưng</x:v>
      </x:c>
      <x:c r="F78" s="19" t="str">
        <x:v>Đi chậm</x:v>
      </x:c>
      <x:c r="G78" s="19" t="str">
        <x:v>VO câu 2</x:v>
      </x:c>
      <x:c r="H78" s="19" t="str">
        <x:v>4s</x:v>
      </x:c>
      <x:c r="I78" s="19" t="str">
        <x:v>Tránh biển số xe</x:v>
      </x:c>
      <x:c r="J78" s="19" t="str"/>
    </x:row>
    <x:row r="79" ht="44" customHeight="1">
      <x:c r="A79" s="47" t="str">
        <x:v>V10</x:v>
      </x:c>
      <x:c r="B79" s="47" t="str">
        <x:v>8–14s</x:v>
      </x:c>
      <x:c r="C79" s="47" t="str">
        <x:v>Cây xanh</x:v>
      </x:c>
      <x:c r="D79" s="47" t="str">
        <x:v>Công viên</x:v>
      </x:c>
      <x:c r="E79" s="47" t="str">
        <x:v>Góc ngửa nhẹ</x:v>
      </x:c>
      <x:c r="F79" s="47" t="str">
        <x:v>Lia qua tán cây</x:v>
      </x:c>
      <x:c r="G79" s="47" t="str">
        <x:v>VO câu 2</x:v>
      </x:c>
      <x:c r="H79" s="47" t="str">
        <x:v>4s</x:v>
      </x:c>
      <x:c r="I79" s="47" t="str">
        <x:v>Không lia nhanh</x:v>
      </x:c>
      <x:c r="J79" s="47" t="str"/>
    </x:row>
    <x:row r="80" ht="44" customHeight="1">
      <x:c r="A80" s="19" t="str">
        <x:v>V10</x:v>
      </x:c>
      <x:c r="B80" s="19" t="str">
        <x:v>14–22s</x:v>
      </x:c>
      <x:c r="C80" s="19" t="str">
        <x:v>Nhận cà phê</x:v>
      </x:c>
      <x:c r="D80" s="19" t="str">
        <x:v>Coffee shop</x:v>
      </x:c>
      <x:c r="E80" s="19" t="str">
        <x:v>Cận tay</x:v>
      </x:c>
      <x:c r="F80" s="19" t="str">
        <x:v>Cầm ly, đặt lên bàn</x:v>
      </x:c>
      <x:c r="G80" s="19" t="str">
        <x:v>VO câu 3</x:v>
      </x:c>
      <x:c r="H80" s="19" t="str">
        <x:v>4s</x:v>
      </x:c>
      <x:c r="I80" s="19" t="str">
        <x:v>Không lộ hóa đơn</x:v>
      </x:c>
      <x:c r="J80" s="19" t="str"/>
    </x:row>
    <x:row r="81" ht="44" customHeight="1">
      <x:c r="A81" s="47" t="str">
        <x:v>V10</x:v>
      </x:c>
      <x:c r="B81" s="47" t="str">
        <x:v>22–31s</x:v>
      </x:c>
      <x:c r="C81" s="47" t="str">
        <x:v>Ngồi công viên</x:v>
      </x:c>
      <x:c r="D81" s="47" t="str">
        <x:v>Công viên</x:v>
      </x:c>
      <x:c r="E81" s="47" t="str">
        <x:v>Nửa người sau lưng</x:v>
      </x:c>
      <x:c r="F81" s="47" t="str">
        <x:v>Ngồi nhìn xa</x:v>
      </x:c>
      <x:c r="G81" s="47" t="str">
        <x:v>VO câu 3</x:v>
      </x:c>
      <x:c r="H81" s="47" t="str">
        <x:v>5s</x:v>
      </x:c>
      <x:c r="I81" s="47" t="str">
        <x:v>Một cảnh thở 5s</x:v>
      </x:c>
      <x:c r="J81" s="47" t="str"/>
    </x:row>
    <x:row r="82" ht="44" customHeight="1">
      <x:c r="A82" s="19" t="str">
        <x:v>V10</x:v>
      </x:c>
      <x:c r="B82" s="19" t="str">
        <x:v>31–42s</x:v>
      </x:c>
      <x:c r="C82" s="19" t="str">
        <x:v>Đi chậm tiếp</x:v>
      </x:c>
      <x:c r="D82" s="19" t="str">
        <x:v>Công viên</x:v>
      </x:c>
      <x:c r="E82" s="19" t="str">
        <x:v>Góc chân</x:v>
      </x:c>
      <x:c r="F82" s="19" t="str">
        <x:v>Bước qua lối đi</x:v>
      </x:c>
      <x:c r="G82" s="19" t="str">
        <x:v>VO câu 4</x:v>
      </x:c>
      <x:c r="H82" s="19" t="str">
        <x:v>4s</x:v>
      </x:c>
      <x:c r="I82" s="19" t="str">
        <x:v>Cắt có chuyển động</x:v>
      </x:c>
      <x:c r="J82" s="19" t="str"/>
    </x:row>
    <x:row r="83" ht="44" customHeight="1">
      <x:c r="A83" s="47" t="str">
        <x:v>V10</x:v>
      </x:c>
      <x:c r="B83" s="47" t="str">
        <x:v>42–55s</x:v>
      </x:c>
      <x:c r="C83" s="47" t="str">
        <x:v>Linh nói camera</x:v>
      </x:c>
      <x:c r="D83" s="47" t="str">
        <x:v>Công viên</x:v>
      </x:c>
      <x:c r="E83" s="47" t="str">
        <x:v>Nửa người</x:v>
      </x:c>
      <x:c r="F83" s="47" t="str">
        <x:v>Nói CTA</x:v>
      </x:c>
      <x:c r="G83" s="47" t="str">
        <x:v>VO câu 5 + CTA</x:v>
      </x:c>
      <x:c r="H83" s="47" t="str">
        <x:v>5s</x:v>
      </x:c>
      <x:c r="I83" s="47" t="str">
        <x:v>Tươi nhưng nhẹ</x:v>
      </x:c>
      <x:c r="J83" s="47" t="str"/>
    </x:row>
    <x:row r="84" ht="44" customHeight="1">
      <x:c r="A84" s="19" t="str">
        <x:v>V10</x:v>
      </x:c>
      <x:c r="B84" s="19" t="str">
        <x:v>55–64s</x:v>
      </x:c>
      <x:c r="C84" s="19" t="str">
        <x:v>Linh nói camera</x:v>
      </x:c>
      <x:c r="D84" s="19" t="str">
        <x:v>Công viên</x:v>
      </x:c>
      <x:c r="E84" s="19" t="str">
        <x:v>Nửa người</x:v>
      </x:c>
      <x:c r="F84" s="19" t="str">
        <x:v>Nói câu hỏi cuối nhẹ nhàng</x:v>
      </x:c>
      <x:c r="G84" s="19" t="str">
        <x:v>VO CTA</x:v>
      </x:c>
      <x:c r="H84" s="19" t="str">
        <x:v>5s</x:v>
      </x:c>
      <x:c r="I84" s="19" t="str">
        <x:v>Giữ một câu hỏi duy nhất của tuần</x:v>
      </x:c>
      <x:c r="J84" s="19" t="str"/>
    </x:row>
    <x:row r="85" ht="44" customHeight="1">
      <x:c r="A85" s="47" t="str">
        <x:v>V11</x:v>
      </x:c>
      <x:c r="B85" s="47" t="str">
        <x:v>0–3s</x:v>
      </x:c>
      <x:c r="C85" s="47" t="str">
        <x:v>Mở tủ lạnh/chọn món</x:v>
      </x:c>
      <x:c r="D85" s="47" t="str">
        <x:v>Bếp</x:v>
      </x:c>
      <x:c r="E85" s="47" t="str">
        <x:v>Cận từ trước</x:v>
      </x:c>
      <x:c r="F85" s="47" t="str">
        <x:v>Lấy nguyên liệu</x:v>
      </x:c>
      <x:c r="G85" s="47" t="str">
        <x:v>Nói hook</x:v>
      </x:c>
      <x:c r="H85" s="47" t="str">
        <x:v>3s</x:v>
      </x:c>
      <x:c r="I85" s="47" t="str">
        <x:v>Chữ “một bữa tử tế”</x:v>
      </x:c>
      <x:c r="J85" s="47" t="str"/>
    </x:row>
    <x:row r="86" ht="44" customHeight="1">
      <x:c r="A86" s="19" t="str">
        <x:v>V11</x:v>
      </x:c>
      <x:c r="B86" s="19" t="str">
        <x:v>3–8s</x:v>
      </x:c>
      <x:c r="C86" s="19" t="str">
        <x:v>Chọn nguyên liệu Việt</x:v>
      </x:c>
      <x:c r="D86" s="19" t="str">
        <x:v>Grocery store</x:v>
      </x:c>
      <x:c r="E86" s="19" t="str">
        <x:v>Cận tay</x:v>
      </x:c>
      <x:c r="F86" s="19" t="str">
        <x:v>Bỏ món vào giỏ</x:v>
      </x:c>
      <x:c r="G86" s="19" t="str">
        <x:v>VO câu 2</x:v>
      </x:c>
      <x:c r="H86" s="19" t="str">
        <x:v>4s</x:v>
      </x:c>
      <x:c r="I86" s="19" t="str">
        <x:v>Không lộ mặt người</x:v>
      </x:c>
      <x:c r="J86" s="19" t="str"/>
    </x:row>
    <x:row r="87" ht="44" customHeight="1">
      <x:c r="A87" s="47" t="str">
        <x:v>V11</x:v>
      </x:c>
      <x:c r="B87" s="47" t="str">
        <x:v>8–15s</x:v>
      </x:c>
      <x:c r="C87" s="47" t="str">
        <x:v>Bày nguyên liệu</x:v>
      </x:c>
      <x:c r="D87" s="47" t="str">
        <x:v>Bếp</x:v>
      </x:c>
      <x:c r="E87" s="47" t="str">
        <x:v>Top-down</x:v>
      </x:c>
      <x:c r="F87" s="47" t="str">
        <x:v>Đặt 3–4 món lên bàn</x:v>
      </x:c>
      <x:c r="G87" s="47" t="str">
        <x:v>VO câu 2</x:v>
      </x:c>
      <x:c r="H87" s="47" t="str">
        <x:v>4s</x:v>
      </x:c>
      <x:c r="I87" s="47" t="str">
        <x:v>Màu tự nhiên</x:v>
      </x:c>
      <x:c r="J87" s="47" t="str"/>
    </x:row>
    <x:row r="88" ht="44" customHeight="1">
      <x:c r="A88" s="19" t="str">
        <x:v>V11</x:v>
      </x:c>
      <x:c r="B88" s="19" t="str">
        <x:v>15–24s</x:v>
      </x:c>
      <x:c r="C88" s="19" t="str">
        <x:v>Sơ chế</x:v>
      </x:c>
      <x:c r="D88" s="19" t="str">
        <x:v>Bếp</x:v>
      </x:c>
      <x:c r="E88" s="19" t="str">
        <x:v>Cận tay</x:v>
      </x:c>
      <x:c r="F88" s="19" t="str">
        <x:v>Cắt/rửa</x:v>
      </x:c>
      <x:c r="G88" s="19" t="str">
        <x:v>VO câu 3</x:v>
      </x:c>
      <x:c r="H88" s="19" t="str">
        <x:v>5s</x:v>
      </x:c>
      <x:c r="I88" s="19" t="str">
        <x:v>Cắt gọn</x:v>
      </x:c>
      <x:c r="J88" s="19" t="str"/>
    </x:row>
    <x:row r="89" ht="44" customHeight="1">
      <x:c r="A89" s="47" t="str">
        <x:v>V11</x:v>
      </x:c>
      <x:c r="B89" s="47" t="str">
        <x:v>24–34s</x:v>
      </x:c>
      <x:c r="C89" s="47" t="str">
        <x:v>Nấu</x:v>
      </x:c>
      <x:c r="D89" s="47" t="str">
        <x:v>Bếp</x:v>
      </x:c>
      <x:c r="E89" s="47" t="str">
        <x:v>Cận chảo</x:v>
      </x:c>
      <x:c r="F89" s="47" t="str">
        <x:v>Đảo/nêm</x:v>
      </x:c>
      <x:c r="G89" s="47" t="str">
        <x:v>VO câu 4</x:v>
      </x:c>
      <x:c r="H89" s="47" t="str">
        <x:v>5s</x:v>
      </x:c>
      <x:c r="I89" s="47" t="str">
        <x:v>Tiếng chảo 0,5s</x:v>
      </x:c>
      <x:c r="J89" s="47" t="str"/>
    </x:row>
    <x:row r="90" ht="44" customHeight="1">
      <x:c r="A90" s="19" t="str">
        <x:v>V11</x:v>
      </x:c>
      <x:c r="B90" s="19" t="str">
        <x:v>34–42s</x:v>
      </x:c>
      <x:c r="C90" s="19" t="str">
        <x:v>Dọn bàn</x:v>
      </x:c>
      <x:c r="D90" s="19" t="str">
        <x:v>Bàn ăn</x:v>
      </x:c>
      <x:c r="E90" s="19" t="str">
        <x:v>Góc 45 độ</x:v>
      </x:c>
      <x:c r="F90" s="19" t="str">
        <x:v>Đặt đĩa và ly nước</x:v>
      </x:c>
      <x:c r="G90" s="19" t="str">
        <x:v>VO câu 4</x:v>
      </x:c>
      <x:c r="H90" s="19" t="str">
        <x:v>4s</x:v>
      </x:c>
      <x:c r="I90" s="19" t="str">
        <x:v>Ánh sáng ấm</x:v>
      </x:c>
      <x:c r="J90" s="19" t="str"/>
    </x:row>
    <x:row r="91" ht="44" customHeight="1">
      <x:c r="A91" s="47" t="str">
        <x:v>V11</x:v>
      </x:c>
      <x:c r="B91" s="47" t="str">
        <x:v>42–60s</x:v>
      </x:c>
      <x:c r="C91" s="47" t="str">
        <x:v>Ăn bữa tối</x:v>
      </x:c>
      <x:c r="D91" s="47" t="str">
        <x:v>Bàn ăn</x:v>
      </x:c>
      <x:c r="E91" s="47" t="str">
        <x:v>Nửa người nghiêng</x:v>
      </x:c>
      <x:c r="F91" s="47" t="str">
        <x:v>Ngồi ăn, nâng ly nước</x:v>
      </x:c>
      <x:c r="G91" s="47" t="str">
        <x:v>VO câu 5 + CTA</x:v>
      </x:c>
      <x:c r="H91" s="47" t="str">
        <x:v>5s</x:v>
      </x:c>
      <x:c r="I91" s="47" t="str">
        <x:v>Kết yên tĩnh</x:v>
      </x:c>
      <x:c r="J91" s="47" t="str"/>
    </x:row>
    <x:row r="92" ht="44" customHeight="1">
      <x:c r="A92" s="19" t="str">
        <x:v>V11</x:v>
      </x:c>
      <x:c r="B92" s="19" t="str">
        <x:v>60–67s</x:v>
      </x:c>
      <x:c r="C92" s="19" t="str">
        <x:v>Kết bữa tối</x:v>
      </x:c>
      <x:c r="D92" s="19" t="str">
        <x:v>Bàn ăn</x:v>
      </x:c>
      <x:c r="E92" s="19" t="str">
        <x:v>Nửa người nghiêng</x:v>
      </x:c>
      <x:c r="F92" s="19" t="str">
        <x:v>Nâng ly nước, ăn chậm một miếng</x:v>
      </x:c>
      <x:c r="G92" s="19" t="str">
        <x:v>VO câu chốt</x:v>
      </x:c>
      <x:c r="H92" s="19" t="str">
        <x:v>5s</x:v>
      </x:c>
      <x:c r="I92" s="19" t="str">
        <x:v>Không cần CTA hỏi</x:v>
      </x:c>
      <x:c r="J92" s="19" t="str"/>
    </x:row>
    <x:row r="93" ht="44" customHeight="1">
      <x:c r="A93" s="47" t="str">
        <x:v>V12</x:v>
      </x:c>
      <x:c r="B93" s="47" t="str">
        <x:v>0–3s</x:v>
      </x:c>
      <x:c r="C93" s="47" t="str">
        <x:v>Montage tháng qua</x:v>
      </x:c>
      <x:c r="D93" s="47" t="str">
        <x:v>Nhiều bối cảnh</x:v>
      </x:c>
      <x:c r="E93" s="47" t="str">
        <x:v>Chuỗi cận cảnh</x:v>
      </x:c>
      <x:c r="F93" s="47" t="str">
        <x:v>Chọn 3 cảnh từ V01/V02/V04</x:v>
      </x:c>
      <x:c r="G93" s="47" t="str">
        <x:v>Nói hook</x:v>
      </x:c>
      <x:c r="H93" s="47" t="str">
        <x:v>3s</x:v>
      </x:c>
      <x:c r="I93" s="47" t="str">
        <x:v>1s/cảnh, cùng tone màu</x:v>
      </x:c>
      <x:c r="J93" s="47" t="str"/>
    </x:row>
    <x:row r="94" ht="44" customHeight="1">
      <x:c r="A94" s="19" t="str">
        <x:v>V12</x:v>
      </x:c>
      <x:c r="B94" s="19" t="str">
        <x:v>3–9s</x:v>
      </x:c>
      <x:c r="C94" s="19" t="str">
        <x:v>Linh nói camera</x:v>
      </x:c>
      <x:c r="D94" s="19" t="str">
        <x:v>Bàn trà/nhà</x:v>
      </x:c>
      <x:c r="E94" s="19" t="str">
        <x:v>Nửa người</x:v>
      </x:c>
      <x:c r="F94" s="19" t="str">
        <x:v>Nói câu 2</x:v>
      </x:c>
      <x:c r="G94" s="19" t="str">
        <x:v>Nói trực tiếp</x:v>
      </x:c>
      <x:c r="H94" s="19" t="str">
        <x:v>5s</x:v>
      </x:c>
      <x:c r="I94" s="19" t="str">
        <x:v>Ánh sáng cửa sổ</x:v>
      </x:c>
      <x:c r="J94" s="19" t="str"/>
    </x:row>
    <x:row r="95" ht="44" customHeight="1">
      <x:c r="A95" s="47" t="str">
        <x:v>V12</x:v>
      </x:c>
      <x:c r="B95" s="47" t="str">
        <x:v>9–16s</x:v>
      </x:c>
      <x:c r="C95" s="47" t="str">
        <x:v>Xem lại clip</x:v>
      </x:c>
      <x:c r="D95" s="47" t="str">
        <x:v>Bàn trà</x:v>
      </x:c>
      <x:c r="E95" s="47" t="str">
        <x:v>Góc sau vai</x:v>
      </x:c>
      <x:c r="F95" s="47" t="str">
        <x:v>Lướt 1–2 clip không lộ màn hình</x:v>
      </x:c>
      <x:c r="G95" s="47" t="str">
        <x:v>VO câu 3</x:v>
      </x:c>
      <x:c r="H95" s="47" t="str">
        <x:v>4s</x:v>
      </x:c>
      <x:c r="I95" s="47" t="str">
        <x:v>Màn hình mờ</x:v>
      </x:c>
      <x:c r="J95" s="47" t="str"/>
    </x:row>
    <x:row r="96" ht="44" customHeight="1">
      <x:c r="A96" s="19" t="str">
        <x:v>V12</x:v>
      </x:c>
      <x:c r="B96" s="19" t="str">
        <x:v>16–25s</x:v>
      </x:c>
      <x:c r="C96" s="19" t="str">
        <x:v>Pha trà/cắm hoa</x:v>
      </x:c>
      <x:c r="D96" s="19" t="str">
        <x:v>Nhà</x:v>
      </x:c>
      <x:c r="E96" s="19" t="str">
        <x:v>Cận tay</x:v>
      </x:c>
      <x:c r="F96" s="19" t="str">
        <x:v>Rót trà hoặc cắm 1 nhành hoa</x:v>
      </x:c>
      <x:c r="G96" s="19" t="str">
        <x:v>VO câu 3</x:v>
      </x:c>
      <x:c r="H96" s="19" t="str">
        <x:v>5s</x:v>
      </x:c>
      <x:c r="I96" s="19" t="str">
        <x:v>Nhạc ấm quay lại</x:v>
      </x:c>
      <x:c r="J96" s="19" t="str"/>
    </x:row>
    <x:row r="97" ht="44" customHeight="1">
      <x:c r="A97" s="47" t="str">
        <x:v>V12</x:v>
      </x:c>
      <x:c r="B97" s="47" t="str">
        <x:v>25–34s</x:v>
      </x:c>
      <x:c r="C97" s="47" t="str">
        <x:v>Ngồi yên</x:v>
      </x:c>
      <x:c r="D97" s="47" t="str">
        <x:v>Nhà</x:v>
      </x:c>
      <x:c r="E97" s="47" t="str">
        <x:v>Góc nghiêng</x:v>
      </x:c>
      <x:c r="F97" s="47" t="str">
        <x:v>Nhìn ra cửa sổ</x:v>
      </x:c>
      <x:c r="G97" s="47" t="str">
        <x:v>VO câu 4</x:v>
      </x:c>
      <x:c r="H97" s="47" t="str">
        <x:v>5s</x:v>
      </x:c>
      <x:c r="I97" s="47" t="str">
        <x:v>Giữ cảnh thở</x:v>
      </x:c>
      <x:c r="J97" s="47" t="str"/>
    </x:row>
    <x:row r="98" ht="44" customHeight="1">
      <x:c r="A98" s="19" t="str">
        <x:v>V12</x:v>
      </x:c>
      <x:c r="B98" s="19" t="str">
        <x:v>34–42s</x:v>
      </x:c>
      <x:c r="C98" s="19" t="str">
        <x:v>Sắp lại góc bàn</x:v>
      </x:c>
      <x:c r="D98" s="19" t="str">
        <x:v>Nhà</x:v>
      </x:c>
      <x:c r="E98" s="19" t="str">
        <x:v>Cận tay</x:v>
      </x:c>
      <x:c r="F98" s="19" t="str">
        <x:v>Đặt sổ/ly trà</x:v>
      </x:c>
      <x:c r="G98" s="19" t="str">
        <x:v>VO câu 4</x:v>
      </x:c>
      <x:c r="H98" s="19" t="str">
        <x:v>4s</x:v>
      </x:c>
      <x:c r="I98" s="19" t="str">
        <x:v>Tone như V01</x:v>
      </x:c>
      <x:c r="J98" s="19" t="str"/>
    </x:row>
    <x:row r="99" ht="44" customHeight="1">
      <x:c r="A99" s="47" t="str">
        <x:v>V12</x:v>
      </x:c>
      <x:c r="B99" s="47" t="str">
        <x:v>42–60s</x:v>
      </x:c>
      <x:c r="C99" s="47" t="str">
        <x:v>Linh kết video</x:v>
      </x:c>
      <x:c r="D99" s="47" t="str">
        <x:v>Nhà</x:v>
      </x:c>
      <x:c r="E99" s="47" t="str">
        <x:v>Nửa người, nhìn camera</x:v>
      </x:c>
      <x:c r="F99" s="47" t="str">
        <x:v>Nói lời cảm ơn và CTA</x:v>
      </x:c>
      <x:c r="G99" s="47" t="str">
        <x:v>Nói trực tiếp</x:v>
      </x:c>
      <x:c r="H99" s="47" t="str">
        <x:v>6s</x:v>
      </x:c>
      <x:c r="I99" s="47" t="str">
        <x:v>Nhạc giảm, chữ “cùng đi tiếp nhé”</x:v>
      </x:c>
      <x:c r="J99" s="47" t="str"/>
    </x:row>
    <x:row r="100" ht="44" customHeight="1">
      <x:c r="A100" s="19" t="str">
        <x:v>V12</x:v>
      </x:c>
      <x:c r="B100" s="19" t="str">
        <x:v>60–64s</x:v>
      </x:c>
      <x:c r="C100" s="19" t="str">
        <x:v>Linh kết video</x:v>
      </x:c>
      <x:c r="D100" s="19" t="str">
        <x:v>Nhà</x:v>
      </x:c>
      <x:c r="E100" s="19" t="str">
        <x:v>Nửa người, nhìn camera</x:v>
      </x:c>
      <x:c r="F100" s="19" t="str">
        <x:v>Mỉm cười, gật nhẹ</x:v>
      </x:c>
      <x:c r="G100" s="19" t="str">
        <x:v>Nói lời cảm ơn</x:v>
      </x:c>
      <x:c r="H100" s="19" t="str">
        <x:v>5s</x:v>
      </x:c>
      <x:c r="I100" s="19" t="str">
        <x:v>Fade out cùng chữ “cùng đi tiếp”</x:v>
      </x:c>
      <x:c r="J100" s="19" t="str"/>
    </x:row>
  </x:sheetData>
  <x:mergeCells>
    <x:mergeCell ref="A1:J1"/>
    <x:mergeCell ref="A2:J2"/>
  </x:mergeCells>
  <x:dataValidations count="1">
    <x:dataValidation type="list" sqref="J5:J100">
      <x:formula1>"Chưa quay,Đã quay,Dùng bản khác"</x:formula1>
    </x:dataValidation>
  </x:dataValidations>
  <x:pageMargins left="0.7" right="0.7" top="0.75" bottom="0.75" header="0.3" footer="0.3"/>
  <x:tableParts count="1">
    <x:tablePart xmlns:r="http://schemas.openxmlformats.org/officeDocument/2006/relationships" r:id="Ra7de1dbca64f4e1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18" hidden="0" customWidth="1"/>
    <x:col min="3" max="3" width="28" hidden="0" customWidth="1"/>
    <x:col min="4" max="4" width="25" hidden="0" customWidth="1"/>
    <x:col min="5" max="5" width="30" hidden="0" customWidth="1"/>
    <x:col min="6" max="6" width="50" hidden="0" customWidth="1"/>
    <x:col min="7" max="7" width="16" hidden="0" customWidth="1"/>
    <x:col min="8" max="8" width="14" hidden="0" customWidth="1"/>
  </x:cols>
  <x:sheetData>
    <x:row r="1" ht="32" customHeight="1">
      <x:c r="A1" s="4" t="str">
        <x:v>Batch quay • ít áp lực, không cần quay mỗi ngày</x:v>
      </x:c>
      <x:c r="B1" s="4"/>
      <x:c r="C1" s="4"/>
      <x:c r="D1" s="4"/>
      <x:c r="E1" s="4"/>
      <x:c r="F1" s="4"/>
      <x:c r="G1" s="4"/>
      <x:c r="H1" s="4"/>
    </x:row>
    <x:row r="2" ht="24" customHeight="1">
      <x:c r="A2" s="7" t="str">
        <x:v>Ưu tiên quay một buổi cuối tuần và lấy footage dư. Mỗi batch có thể hoàn thành 2–4 video.</x:v>
      </x:c>
      <x:c r="B2" s="7"/>
      <x:c r="C2" s="7"/>
      <x:c r="D2" s="7"/>
      <x:c r="E2" s="7"/>
      <x:c r="F2" s="7"/>
      <x:c r="G2" s="7"/>
      <x:c r="H2" s="7"/>
    </x:row>
    <x:row r="4">
      <x:c r="A4" s="24" t="str">
        <x:v>Buổi</x:v>
      </x:c>
      <x:c r="B4" s="24" t="str">
        <x:v>Thời gian gợi ý</x:v>
      </x:c>
      <x:c r="C4" s="24" t="str">
        <x:v>Video dùng</x:v>
      </x:c>
      <x:c r="D4" s="24" t="str">
        <x:v>Bối cảnh</x:v>
      </x:c>
      <x:c r="E4" s="24" t="str">
        <x:v>Cần chuẩn bị</x:v>
      </x:c>
      <x:c r="F4" s="24" t="str">
        <x:v>Danh sách footage</x:v>
      </x:c>
      <x:c r="G4" s="24" t="str">
        <x:v>Tổng thời gian</x:v>
      </x:c>
      <x:c r="H4" s="24" t="str">
        <x:v>Trạng thái</x:v>
      </x:c>
    </x:row>
    <x:row r="5" ht="72" customHeight="1">
      <x:c r="A5" s="47" t="str">
        <x:v>Batch 1 • Morning &amp; commute</x:v>
      </x:c>
      <x:c r="B5" s="47" t="str">
        <x:v>Một sáng đi làm</x:v>
      </x:c>
      <x:c r="C5" s="47" t="str">
        <x:v>V01 + footage V12</x:v>
      </x:c>
      <x:c r="D5" s="47" t="str">
        <x:v>Nhà, cửa ra vào, xe đã đỗ</x:v>
      </x:c>
      <x:c r="E5" s="47" t="str">
        <x:v>Tumbler, lunch bag, chìa khóa, túi đi làm</x:v>
      </x:c>
      <x:c r="F5" s="47" t="str">
        <x:v>Tắt báo thức; mở rèm; rót coffee; chuẩn bị lunch bag; mang giày; ngồi trong xe khi xe đã đỗ; 1 cảnh nói camera</x:v>
      </x:c>
      <x:c r="G5" s="47" t="str">
        <x:v>45–60 phút</x:v>
      </x:c>
      <x:c r="H5" s="47" t="str">
        <x:v>Chưa quay</x:v>
      </x:c>
    </x:row>
    <x:row r="6" ht="72" customHeight="1">
      <x:c r="A6" s="19" t="str">
        <x:v>Batch 2 • Grocery run &amp; bếp</x:v>
      </x:c>
      <x:c r="B6" s="19" t="str">
        <x:v>Chiều cuối tuần</x:v>
      </x:c>
      <x:c r="C6" s="19" t="str">
        <x:v>V02 + V05 + V11</x:v>
      </x:c>
      <x:c r="D6" s="19" t="str">
        <x:v>Grocery store, parking lot, bếp, bàn ăn</x:v>
      </x:c>
      <x:c r="E6" s="19" t="str">
        <x:v>Grocery bags, nguyên liệu Việt, hộp meal prep</x:v>
      </x:c>
      <x:c r="F6" s="19" t="str">
        <x:v>Đẩy cart; chọn nguyên liệu; mang túi vào nhà; rửa/cắt/nấu; chia hộp; nồi cơm; bữa ăn hoàn thành</x:v>
      </x:c>
      <x:c r="G6" s="19" t="str">
        <x:v>90–120 phút</x:v>
      </x:c>
      <x:c r="H6" s="19" t="str">
        <x:v>Chưa quay</x:v>
      </x:c>
    </x:row>
    <x:row r="7" ht="72" customHeight="1">
      <x:c r="A7" s="47" t="str">
        <x:v>Batch 3 • Coffee &amp; walk</x:v>
      </x:c>
      <x:c r="B7" s="47" t="str">
        <x:v>Sáng/chiều cuối tuần</x:v>
      </x:c>
      <x:c r="C7" s="47" t="str">
        <x:v>V03 + V10</x:v>
      </x:c>
      <x:c r="D7" s="47" t="str">
        <x:v>Coffee shop, khu đi bộ, park</x:v>
      </x:c>
      <x:c r="E7" s="47" t="str">
        <x:v>Ly coffee, túi, áo khoác theo thời tiết</x:v>
      </x:c>
      <x:c r="F7" s="47" t="str">
        <x:v>Nhận coffee; laptop còn đóng; ngồi cửa sổ; đi bộ; cây xanh; ngồi park; 1 cảnh nói camera</x:v>
      </x:c>
      <x:c r="G7" s="47" t="str">
        <x:v>60–75 phút</x:v>
      </x:c>
      <x:c r="H7" s="47" t="str">
        <x:v>Chưa quay</x:v>
      </x:c>
    </x:row>
    <x:row r="8" ht="72" customHeight="1">
      <x:c r="A8" s="19" t="str">
        <x:v>Batch 4 • Gym sau giờ làm</x:v>
      </x:c>
      <x:c r="B8" s="19" t="str">
        <x:v>Một buổi tập thật</x:v>
      </x:c>
      <x:c r="C8" s="19" t="str">
        <x:v>V04</x:v>
      </x:c>
      <x:c r="D8" s="19" t="str">
        <x:v>Parking lot, gym/công viên</x:v>
      </x:c>
      <x:c r="E8" s="19" t="str">
        <x:v>Đồ tập, nước, tripod nhỏ</x:v>
      </x:c>
      <x:c r="F8" s="19" t="str">
        <x:v>Giày/timer; lối vào; khởi động; 2 bài tập; giãn cơ; uống nước; rời gym</x:v>
      </x:c>
      <x:c r="G8" s="19" t="str">
        <x:v>30–45 phút</x:v>
      </x:c>
      <x:c r="H8" s="19" t="str">
        <x:v>Chưa quay</x:v>
      </x:c>
    </x:row>
    <x:row r="9" ht="72" customHeight="1">
      <x:c r="A9" s="47" t="str">
        <x:v>Batch 5 • Commute &amp; workday</x:v>
      </x:c>
      <x:c r="B9" s="47" t="str">
        <x:v>Một ngày đi làm</x:v>
      </x:c>
      <x:c r="C9" s="47" t="str">
        <x:v>V06 + V08</x:v>
      </x:c>
      <x:c r="D9" s="47" t="str">
        <x:v>Xe đã đỗ, office/home office, đường về</x:v>
      </x:c>
      <x:c r="E9" s="47" t="str">
        <x:v>Sổ không có thông tin riêng, túi đi làm, ly nước</x:v>
      </x:c>
      <x:c r="F9" s="47" t="str">
        <x:v>Tắt notification khi xe đã đỗ; khoanh 1 việc; bàn chỉ quay tay; log off; mang túi rời bàn; cảnh về nhà</x:v>
      </x:c>
      <x:c r="G9" s="47" t="str">
        <x:v>20 phút rải trong ngày</x:v>
      </x:c>
      <x:c r="H9" s="47" t="str">
        <x:v>Chưa quay</x:v>
      </x:c>
    </x:row>
    <x:row r="10" ht="72" customHeight="1">
      <x:c r="A10" s="19" t="str">
        <x:v>Batch 6 • Home after work</x:v>
      </x:c>
      <x:c r="B10" s="19" t="str">
        <x:v>Một tối trong tuần</x:v>
      </x:c>
      <x:c r="C10" s="19" t="str">
        <x:v>V07 + V09 + V12</x:v>
      </x:c>
      <x:c r="D10" s="19" t="str">
        <x:v>Counter/bàn, bếp, sofa, phòng ngủ</x:v>
      </x:c>
      <x:c r="E10" s="19" t="str">
        <x:v>Mail vô danh, grocery bag, khăn lau, đồ skincare</x:v>
      </x:c>
      <x:c r="F10" s="19" t="str">
        <x:v>Counter trước–sau; cất grocery; pha trà; đóng laptop; skincare; xem TV; tắt đèn; 1 cảnh tổng kết</x:v>
      </x:c>
      <x:c r="G10" s="19" t="str">
        <x:v>60–75 phút</x:v>
      </x:c>
      <x:c r="H10" s="19" t="str">
        <x:v>Chưa quay</x:v>
      </x:c>
    </x:row>
  </x:sheetData>
  <x:mergeCells>
    <x:mergeCell ref="A1:H1"/>
    <x:mergeCell ref="A2:H2"/>
  </x:mergeCells>
  <x:conditionalFormatting sqref="H5:H10">
    <x:cfRule type="containsText" dxfId="4" priority="1" operator="containsText" text="Đã quay"/>
  </x:conditionalFormatting>
  <x:dataValidations count="1">
    <x:dataValidation type="list" sqref="H5:H10">
      <x:formula1>"Chưa quay,Đã quay,Cần dời lịch"</x:formula1>
    </x:dataValidation>
  </x:dataValidations>
  <x:pageMargins left="0.7" right="0.7" top="0.75" bottom="0.75" header="0.3" footer="0.3"/>
  <x:tableParts count="1">
    <x:tablePart xmlns:r="http://schemas.openxmlformats.org/officeDocument/2006/relationships" r:id="Rd35ec16cbe7b4780"/>
  </x:tableParts>
</x:worksheet>
</file>